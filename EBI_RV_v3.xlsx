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jain\Documents\app.py\"/>
    </mc:Choice>
  </mc:AlternateContent>
  <xr:revisionPtr revIDLastSave="0" documentId="8_{B0B2C7E3-85FC-4245-852E-1B0B7046A01E}" xr6:coauthVersionLast="47" xr6:coauthVersionMax="47" xr10:uidLastSave="{00000000-0000-0000-0000-000000000000}"/>
  <bookViews>
    <workbookView xWindow="-110" yWindow="-110" windowWidth="22780" windowHeight="14540" activeTab="1" xr2:uid="{597846B5-12ED-4C54-A639-0F51F5F85196}"/>
  </bookViews>
  <sheets>
    <sheet name="EBI Review" sheetId="1" r:id="rId1"/>
    <sheet name="RI and CVI" sheetId="4" r:id="rId2"/>
    <sheet name="ICB Links" sheetId="3" r:id="rId3"/>
    <sheet name="Sheet2"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8" i="1" l="1"/>
  <c r="E178" i="1"/>
  <c r="F178" i="1"/>
  <c r="G178" i="1"/>
  <c r="H178" i="1"/>
  <c r="I178" i="1"/>
  <c r="J178" i="1"/>
  <c r="K178" i="1"/>
  <c r="L178" i="1"/>
  <c r="M178" i="1"/>
  <c r="N178" i="1"/>
  <c r="O178" i="1"/>
  <c r="P178" i="1"/>
  <c r="Q178" i="1"/>
  <c r="R178" i="1"/>
  <c r="S178" i="1"/>
  <c r="T178" i="1"/>
  <c r="U178" i="1"/>
  <c r="V178" i="1"/>
  <c r="W178" i="1"/>
  <c r="X178" i="1"/>
  <c r="Y178" i="1"/>
  <c r="Z178" i="1"/>
  <c r="AA178" i="1"/>
  <c r="AB178" i="1"/>
  <c r="AC178" i="1"/>
  <c r="AD178" i="1"/>
  <c r="AE178" i="1"/>
  <c r="AF178" i="1"/>
  <c r="AG178" i="1"/>
  <c r="AH178" i="1"/>
  <c r="AI178" i="1"/>
  <c r="AJ178" i="1"/>
  <c r="AK178" i="1"/>
  <c r="AL178" i="1"/>
  <c r="AM178" i="1"/>
  <c r="AN178" i="1"/>
  <c r="AO178" i="1"/>
  <c r="AP178" i="1"/>
  <c r="AQ178" i="1"/>
  <c r="C178" i="1"/>
  <c r="B178" i="1"/>
  <c r="AQ172" i="1"/>
  <c r="AP172" i="1"/>
  <c r="AO172" i="1"/>
  <c r="AN172" i="1"/>
  <c r="AM172" i="1"/>
  <c r="AL172" i="1"/>
  <c r="AK172" i="1"/>
  <c r="AJ172" i="1"/>
  <c r="AI172" i="1"/>
  <c r="AH172" i="1"/>
  <c r="AG172" i="1"/>
  <c r="AF172" i="1"/>
  <c r="AE172" i="1"/>
  <c r="AD172" i="1"/>
  <c r="AC172" i="1"/>
  <c r="AB172" i="1"/>
  <c r="AA172" i="1"/>
  <c r="Z172" i="1"/>
  <c r="Y172" i="1"/>
  <c r="X172" i="1"/>
  <c r="W172" i="1"/>
  <c r="V172" i="1"/>
  <c r="U172" i="1"/>
  <c r="T172" i="1"/>
  <c r="S172" i="1"/>
  <c r="R172" i="1"/>
  <c r="Q172" i="1"/>
  <c r="P172" i="1"/>
  <c r="O172" i="1"/>
  <c r="N172" i="1"/>
  <c r="M172" i="1"/>
  <c r="L172" i="1"/>
  <c r="K172" i="1"/>
  <c r="J172" i="1"/>
  <c r="I172" i="1"/>
  <c r="H172" i="1"/>
  <c r="G172" i="1"/>
  <c r="F172" i="1"/>
  <c r="E172" i="1"/>
  <c r="D172" i="1"/>
  <c r="C172" i="1"/>
  <c r="B172" i="1"/>
  <c r="AQ171" i="1"/>
  <c r="AP171" i="1"/>
  <c r="AO171" i="1"/>
  <c r="AN171" i="1"/>
  <c r="AM171" i="1"/>
  <c r="AL171" i="1"/>
  <c r="AK171" i="1"/>
  <c r="AJ171" i="1"/>
  <c r="AI171" i="1"/>
  <c r="AH171" i="1"/>
  <c r="AG171" i="1"/>
  <c r="AF171" i="1"/>
  <c r="AE171" i="1"/>
  <c r="AD171" i="1"/>
  <c r="AC171" i="1"/>
  <c r="AB171" i="1"/>
  <c r="AA171" i="1"/>
  <c r="Z171" i="1"/>
  <c r="Y171" i="1"/>
  <c r="X171" i="1"/>
  <c r="W171" i="1"/>
  <c r="V171" i="1"/>
  <c r="U171" i="1"/>
  <c r="T171" i="1"/>
  <c r="S171" i="1"/>
  <c r="R171" i="1"/>
  <c r="Q171" i="1"/>
  <c r="P171" i="1"/>
  <c r="O171" i="1"/>
  <c r="N171" i="1"/>
  <c r="M171" i="1"/>
  <c r="L171" i="1"/>
  <c r="K171" i="1"/>
  <c r="J171" i="1"/>
  <c r="I171" i="1"/>
  <c r="H171" i="1"/>
  <c r="G171" i="1"/>
  <c r="F171" i="1"/>
  <c r="E171" i="1"/>
  <c r="D171" i="1"/>
  <c r="C171" i="1"/>
  <c r="B171" i="1"/>
  <c r="AQ170" i="1"/>
  <c r="AP170" i="1"/>
  <c r="AO170" i="1"/>
  <c r="AN170" i="1"/>
  <c r="AM170" i="1"/>
  <c r="AL170" i="1"/>
  <c r="AK170" i="1"/>
  <c r="AJ170" i="1"/>
  <c r="AI170" i="1"/>
  <c r="AH170" i="1"/>
  <c r="AG170" i="1"/>
  <c r="AF170" i="1"/>
  <c r="AE170" i="1"/>
  <c r="AD170" i="1"/>
  <c r="AC170" i="1"/>
  <c r="AB170" i="1"/>
  <c r="AA170" i="1"/>
  <c r="Z170" i="1"/>
  <c r="Y170" i="1"/>
  <c r="X170" i="1"/>
  <c r="W170" i="1"/>
  <c r="V170" i="1"/>
  <c r="U170" i="1"/>
  <c r="T170" i="1"/>
  <c r="S170" i="1"/>
  <c r="R170" i="1"/>
  <c r="Q170" i="1"/>
  <c r="P170" i="1"/>
  <c r="O170" i="1"/>
  <c r="N170" i="1"/>
  <c r="M170" i="1"/>
  <c r="L170" i="1"/>
  <c r="K170" i="1"/>
  <c r="J170" i="1"/>
  <c r="I170" i="1"/>
  <c r="H170" i="1"/>
  <c r="G170" i="1"/>
  <c r="F170" i="1"/>
  <c r="E170" i="1"/>
  <c r="D170" i="1"/>
  <c r="C170" i="1"/>
  <c r="B170" i="1"/>
  <c r="AQ169" i="1"/>
  <c r="AP169" i="1"/>
  <c r="AO169" i="1"/>
  <c r="AN169" i="1"/>
  <c r="AM169" i="1"/>
  <c r="AL169" i="1"/>
  <c r="AK169" i="1"/>
  <c r="AJ169" i="1"/>
  <c r="AI169" i="1"/>
  <c r="AH169" i="1"/>
  <c r="AG169" i="1"/>
  <c r="AF169" i="1"/>
  <c r="AE169" i="1"/>
  <c r="AD169" i="1"/>
  <c r="AC169" i="1"/>
  <c r="AB169" i="1"/>
  <c r="AA169" i="1"/>
  <c r="Z169" i="1"/>
  <c r="Y169" i="1"/>
  <c r="X169" i="1"/>
  <c r="W169" i="1"/>
  <c r="V169" i="1"/>
  <c r="U169" i="1"/>
  <c r="T169" i="1"/>
  <c r="S169" i="1"/>
  <c r="R169" i="1"/>
  <c r="Q169" i="1"/>
  <c r="P169" i="1"/>
  <c r="O169" i="1"/>
  <c r="N169" i="1"/>
  <c r="M169" i="1"/>
  <c r="L169" i="1"/>
  <c r="K169" i="1"/>
  <c r="J169" i="1"/>
  <c r="I169" i="1"/>
  <c r="H169" i="1"/>
  <c r="G169" i="1"/>
  <c r="F169" i="1"/>
  <c r="E169" i="1"/>
  <c r="D169" i="1"/>
  <c r="C169" i="1"/>
  <c r="B169" i="1"/>
  <c r="AQ168" i="1"/>
  <c r="AP168" i="1"/>
  <c r="AO168" i="1"/>
  <c r="AN168" i="1"/>
  <c r="AM168" i="1"/>
  <c r="AL168" i="1"/>
  <c r="AK168" i="1"/>
  <c r="AJ168" i="1"/>
  <c r="AI168" i="1"/>
  <c r="AH168" i="1"/>
  <c r="AG168" i="1"/>
  <c r="AF168" i="1"/>
  <c r="AE168" i="1"/>
  <c r="AD168" i="1"/>
  <c r="AC168" i="1"/>
  <c r="AB168" i="1"/>
  <c r="AA168" i="1"/>
  <c r="Z168" i="1"/>
  <c r="Y168" i="1"/>
  <c r="X168" i="1"/>
  <c r="W168" i="1"/>
  <c r="V168" i="1"/>
  <c r="U168" i="1"/>
  <c r="T168" i="1"/>
  <c r="S168" i="1"/>
  <c r="R168" i="1"/>
  <c r="Q168" i="1"/>
  <c r="P168" i="1"/>
  <c r="O168" i="1"/>
  <c r="N168" i="1"/>
  <c r="M168" i="1"/>
  <c r="L168" i="1"/>
  <c r="K168" i="1"/>
  <c r="J168" i="1"/>
  <c r="I168" i="1"/>
  <c r="H168" i="1"/>
  <c r="G168" i="1"/>
  <c r="F168" i="1"/>
  <c r="E168" i="1"/>
  <c r="D168" i="1"/>
  <c r="C168" i="1"/>
  <c r="B168" i="1"/>
  <c r="AV165" i="1"/>
  <c r="AU165" i="1"/>
  <c r="AT165" i="1"/>
  <c r="AS165" i="1"/>
  <c r="AR165" i="1"/>
  <c r="AV164" i="1"/>
  <c r="AU164" i="1"/>
  <c r="AT164" i="1"/>
  <c r="AS164" i="1"/>
  <c r="AR164" i="1"/>
  <c r="AV163" i="1"/>
  <c r="AU163" i="1"/>
  <c r="AT163" i="1"/>
  <c r="AS163" i="1"/>
  <c r="AR163" i="1"/>
  <c r="AV162" i="1"/>
  <c r="AU162" i="1"/>
  <c r="AT162" i="1"/>
  <c r="AS162" i="1"/>
  <c r="AR162" i="1"/>
  <c r="AV161" i="1"/>
  <c r="AU161" i="1"/>
  <c r="AT161" i="1"/>
  <c r="AS161" i="1"/>
  <c r="AR161" i="1"/>
  <c r="AV160" i="1"/>
  <c r="AU160" i="1"/>
  <c r="AT160" i="1"/>
  <c r="AS160" i="1"/>
  <c r="AR160" i="1"/>
  <c r="AV159" i="1"/>
  <c r="AU159" i="1"/>
  <c r="AT159" i="1"/>
  <c r="AS159" i="1"/>
  <c r="AR159" i="1"/>
  <c r="AV158" i="1"/>
  <c r="AU158" i="1"/>
  <c r="AT158" i="1"/>
  <c r="AS158" i="1"/>
  <c r="AR158" i="1"/>
  <c r="AV157" i="1"/>
  <c r="AU157" i="1"/>
  <c r="AT157" i="1"/>
  <c r="AS157" i="1"/>
  <c r="AR157" i="1"/>
  <c r="AV156" i="1"/>
  <c r="AU156" i="1"/>
  <c r="AT156" i="1"/>
  <c r="AS156" i="1"/>
  <c r="AR156" i="1"/>
  <c r="AV155" i="1"/>
  <c r="AU155" i="1"/>
  <c r="AT155" i="1"/>
  <c r="AS155" i="1"/>
  <c r="AR155" i="1"/>
  <c r="AV154" i="1"/>
  <c r="AU154" i="1"/>
  <c r="AT154" i="1"/>
  <c r="AS154" i="1"/>
  <c r="AR154" i="1"/>
  <c r="AV153" i="1"/>
  <c r="AU153" i="1"/>
  <c r="AT153" i="1"/>
  <c r="AS153" i="1"/>
  <c r="AR153" i="1"/>
  <c r="AV152" i="1"/>
  <c r="AU152" i="1"/>
  <c r="AT152" i="1"/>
  <c r="AS152" i="1"/>
  <c r="AR152" i="1"/>
  <c r="AV151" i="1"/>
  <c r="AU151" i="1"/>
  <c r="AT151" i="1"/>
  <c r="AS151" i="1"/>
  <c r="AR151" i="1"/>
  <c r="AV150" i="1"/>
  <c r="AU150" i="1"/>
  <c r="AT150" i="1"/>
  <c r="AS150" i="1"/>
  <c r="AR150" i="1"/>
  <c r="AV149" i="1"/>
  <c r="AU149" i="1"/>
  <c r="AT149" i="1"/>
  <c r="AS149" i="1"/>
  <c r="AR149" i="1"/>
  <c r="AV148" i="1"/>
  <c r="AU148" i="1"/>
  <c r="AT148" i="1"/>
  <c r="AS148" i="1"/>
  <c r="AR148" i="1"/>
  <c r="AV147" i="1"/>
  <c r="AU147" i="1"/>
  <c r="AT147" i="1"/>
  <c r="AS147" i="1"/>
  <c r="AR147" i="1"/>
  <c r="AV146" i="1"/>
  <c r="AU146" i="1"/>
  <c r="AT146" i="1"/>
  <c r="AS146" i="1"/>
  <c r="AR146" i="1"/>
  <c r="AV145" i="1"/>
  <c r="AU145" i="1"/>
  <c r="AT145" i="1"/>
  <c r="AS145" i="1"/>
  <c r="AR145" i="1"/>
  <c r="AV144" i="1"/>
  <c r="AU144" i="1"/>
  <c r="AT144" i="1"/>
  <c r="AS144" i="1"/>
  <c r="AR144" i="1"/>
  <c r="AV143" i="1"/>
  <c r="AU143" i="1"/>
  <c r="AT143" i="1"/>
  <c r="AS143" i="1"/>
  <c r="AR143" i="1"/>
  <c r="AV142" i="1"/>
  <c r="AU142" i="1"/>
  <c r="AT142" i="1"/>
  <c r="AS142" i="1"/>
  <c r="AR142" i="1"/>
  <c r="AV141" i="1"/>
  <c r="AU141" i="1"/>
  <c r="AT141" i="1"/>
  <c r="AS141" i="1"/>
  <c r="AR141" i="1"/>
  <c r="AV140" i="1"/>
  <c r="AU140" i="1"/>
  <c r="AT140" i="1"/>
  <c r="AS140" i="1"/>
  <c r="AR140" i="1"/>
  <c r="AV139" i="1"/>
  <c r="AU139" i="1"/>
  <c r="AT139" i="1"/>
  <c r="AW139" i="1" s="1"/>
  <c r="AS139" i="1"/>
  <c r="AR139" i="1"/>
  <c r="AV138" i="1"/>
  <c r="AU138" i="1"/>
  <c r="AT138" i="1"/>
  <c r="AS138" i="1"/>
  <c r="AR138" i="1"/>
  <c r="AV137" i="1"/>
  <c r="AU137" i="1"/>
  <c r="AT137" i="1"/>
  <c r="AS137" i="1"/>
  <c r="AR137" i="1"/>
  <c r="AV136" i="1"/>
  <c r="AU136" i="1"/>
  <c r="AT136" i="1"/>
  <c r="AS136" i="1"/>
  <c r="AR136" i="1"/>
  <c r="AV135" i="1"/>
  <c r="AU135" i="1"/>
  <c r="AT135" i="1"/>
  <c r="AS135" i="1"/>
  <c r="AR135" i="1"/>
  <c r="AV134" i="1"/>
  <c r="AU134" i="1"/>
  <c r="AT134" i="1"/>
  <c r="AS134" i="1"/>
  <c r="AR134" i="1"/>
  <c r="AV133" i="1"/>
  <c r="AU133" i="1"/>
  <c r="AT133" i="1"/>
  <c r="AS133" i="1"/>
  <c r="AR133" i="1"/>
  <c r="AV132" i="1"/>
  <c r="AU132" i="1"/>
  <c r="AT132" i="1"/>
  <c r="AS132" i="1"/>
  <c r="AR132" i="1"/>
  <c r="AV131" i="1"/>
  <c r="AU131" i="1"/>
  <c r="AT131" i="1"/>
  <c r="AS131" i="1"/>
  <c r="AR131" i="1"/>
  <c r="AV130" i="1"/>
  <c r="AU130" i="1"/>
  <c r="AT130" i="1"/>
  <c r="AS130" i="1"/>
  <c r="AR130" i="1"/>
  <c r="AV129" i="1"/>
  <c r="AU129" i="1"/>
  <c r="AT129" i="1"/>
  <c r="AS129" i="1"/>
  <c r="AR129" i="1"/>
  <c r="AV128" i="1"/>
  <c r="AU128" i="1"/>
  <c r="AT128" i="1"/>
  <c r="AS128" i="1"/>
  <c r="AR128" i="1"/>
  <c r="AV127" i="1"/>
  <c r="AU127" i="1"/>
  <c r="AT127" i="1"/>
  <c r="AS127" i="1"/>
  <c r="AR127" i="1"/>
  <c r="AV126" i="1"/>
  <c r="AU126" i="1"/>
  <c r="AT126" i="1"/>
  <c r="AS126" i="1"/>
  <c r="AR126" i="1"/>
  <c r="AV125" i="1"/>
  <c r="AU125" i="1"/>
  <c r="AT125" i="1"/>
  <c r="AS125" i="1"/>
  <c r="AR125" i="1"/>
  <c r="AV124" i="1"/>
  <c r="AU124" i="1"/>
  <c r="AT124" i="1"/>
  <c r="AS124" i="1"/>
  <c r="AR124" i="1"/>
  <c r="AV123" i="1"/>
  <c r="AU123" i="1"/>
  <c r="AT123" i="1"/>
  <c r="AS123" i="1"/>
  <c r="AR123" i="1"/>
  <c r="AV122" i="1"/>
  <c r="AU122" i="1"/>
  <c r="AT122" i="1"/>
  <c r="AS122" i="1"/>
  <c r="AR122" i="1"/>
  <c r="AV121" i="1"/>
  <c r="AU121" i="1"/>
  <c r="AT121" i="1"/>
  <c r="AS121" i="1"/>
  <c r="AR121" i="1"/>
  <c r="AV120" i="1"/>
  <c r="AU120" i="1"/>
  <c r="AT120" i="1"/>
  <c r="AS120" i="1"/>
  <c r="AR120" i="1"/>
  <c r="AV119" i="1"/>
  <c r="AU119" i="1"/>
  <c r="AT119" i="1"/>
  <c r="AS119" i="1"/>
  <c r="AR119" i="1"/>
  <c r="AV118" i="1"/>
  <c r="AU118" i="1"/>
  <c r="AT118" i="1"/>
  <c r="AS118" i="1"/>
  <c r="AR118" i="1"/>
  <c r="AV117" i="1"/>
  <c r="AU117" i="1"/>
  <c r="AT117" i="1"/>
  <c r="AS117" i="1"/>
  <c r="AR117" i="1"/>
  <c r="AV116" i="1"/>
  <c r="AU116" i="1"/>
  <c r="AT116" i="1"/>
  <c r="AS116" i="1"/>
  <c r="AR116" i="1"/>
  <c r="AV115" i="1"/>
  <c r="AU115" i="1"/>
  <c r="AT115" i="1"/>
  <c r="AS115" i="1"/>
  <c r="AR115" i="1"/>
  <c r="AV114" i="1"/>
  <c r="AU114" i="1"/>
  <c r="AT114" i="1"/>
  <c r="AS114" i="1"/>
  <c r="AR114" i="1"/>
  <c r="AV113" i="1"/>
  <c r="AU113" i="1"/>
  <c r="AT113" i="1"/>
  <c r="AS113" i="1"/>
  <c r="AR113" i="1"/>
  <c r="AV112" i="1"/>
  <c r="AU112" i="1"/>
  <c r="AT112" i="1"/>
  <c r="AS112" i="1"/>
  <c r="AR112" i="1"/>
  <c r="AV111" i="1"/>
  <c r="AU111" i="1"/>
  <c r="AT111" i="1"/>
  <c r="AS111" i="1"/>
  <c r="AR111" i="1"/>
  <c r="AV110" i="1"/>
  <c r="AU110" i="1"/>
  <c r="AT110" i="1"/>
  <c r="AS110" i="1"/>
  <c r="AR110" i="1"/>
  <c r="AV109" i="1"/>
  <c r="AU109" i="1"/>
  <c r="AT109" i="1"/>
  <c r="AS109" i="1"/>
  <c r="AR109" i="1"/>
  <c r="AV108" i="1"/>
  <c r="AU108" i="1"/>
  <c r="AT108" i="1"/>
  <c r="AS108" i="1"/>
  <c r="AR108" i="1"/>
  <c r="AV107" i="1"/>
  <c r="AU107" i="1"/>
  <c r="AT107" i="1"/>
  <c r="AS107" i="1"/>
  <c r="AR107" i="1"/>
  <c r="AV106" i="1"/>
  <c r="AU106" i="1"/>
  <c r="AT106" i="1"/>
  <c r="AS106" i="1"/>
  <c r="AR106" i="1"/>
  <c r="AV105" i="1"/>
  <c r="AU105" i="1"/>
  <c r="AT105" i="1"/>
  <c r="AS105" i="1"/>
  <c r="AR105" i="1"/>
  <c r="AV104" i="1"/>
  <c r="AU104" i="1"/>
  <c r="AT104" i="1"/>
  <c r="AS104" i="1"/>
  <c r="AR104" i="1"/>
  <c r="AV103" i="1"/>
  <c r="AU103" i="1"/>
  <c r="AT103" i="1"/>
  <c r="AS103" i="1"/>
  <c r="AR103" i="1"/>
  <c r="AV102" i="1"/>
  <c r="AU102" i="1"/>
  <c r="AT102" i="1"/>
  <c r="AS102" i="1"/>
  <c r="AR102" i="1"/>
  <c r="AV101" i="1"/>
  <c r="AU101" i="1"/>
  <c r="AT101" i="1"/>
  <c r="AS101" i="1"/>
  <c r="AR101" i="1"/>
  <c r="AV100" i="1"/>
  <c r="AU100" i="1"/>
  <c r="AT100" i="1"/>
  <c r="AS100" i="1"/>
  <c r="AR100" i="1"/>
  <c r="AV99" i="1"/>
  <c r="AU99" i="1"/>
  <c r="AT99" i="1"/>
  <c r="AS99" i="1"/>
  <c r="AR99" i="1"/>
  <c r="AV98" i="1"/>
  <c r="AU98" i="1"/>
  <c r="AT98" i="1"/>
  <c r="AS98" i="1"/>
  <c r="AR98" i="1"/>
  <c r="AV97" i="1"/>
  <c r="AU97" i="1"/>
  <c r="AT97" i="1"/>
  <c r="AS97" i="1"/>
  <c r="AR97" i="1"/>
  <c r="AV96" i="1"/>
  <c r="AU96" i="1"/>
  <c r="AT96" i="1"/>
  <c r="AS96" i="1"/>
  <c r="AR96" i="1"/>
  <c r="AV95" i="1"/>
  <c r="AU95" i="1"/>
  <c r="AT95" i="1"/>
  <c r="AS95" i="1"/>
  <c r="AR95" i="1"/>
  <c r="AV94" i="1"/>
  <c r="AU94" i="1"/>
  <c r="AT94" i="1"/>
  <c r="AS94" i="1"/>
  <c r="AR94" i="1"/>
  <c r="AV93" i="1"/>
  <c r="AU93" i="1"/>
  <c r="AT93" i="1"/>
  <c r="AS93" i="1"/>
  <c r="AR93" i="1"/>
  <c r="AV92" i="1"/>
  <c r="AU92" i="1"/>
  <c r="AT92" i="1"/>
  <c r="AS92" i="1"/>
  <c r="AR92" i="1"/>
  <c r="AV91" i="1"/>
  <c r="AU91" i="1"/>
  <c r="AT91" i="1"/>
  <c r="AS91" i="1"/>
  <c r="AR91" i="1"/>
  <c r="AV90" i="1"/>
  <c r="AU90" i="1"/>
  <c r="AT90" i="1"/>
  <c r="AS90" i="1"/>
  <c r="AR90" i="1"/>
  <c r="AV89" i="1"/>
  <c r="AU89" i="1"/>
  <c r="AT89" i="1"/>
  <c r="AS89" i="1"/>
  <c r="AR89" i="1"/>
  <c r="AV88" i="1"/>
  <c r="AU88" i="1"/>
  <c r="AT88" i="1"/>
  <c r="AS88" i="1"/>
  <c r="AR88" i="1"/>
  <c r="AV87" i="1"/>
  <c r="AU87" i="1"/>
  <c r="AT87" i="1"/>
  <c r="AS87" i="1"/>
  <c r="AR87" i="1"/>
  <c r="AV86" i="1"/>
  <c r="AU86" i="1"/>
  <c r="AT86" i="1"/>
  <c r="AS86" i="1"/>
  <c r="AR86" i="1"/>
  <c r="AV85" i="1"/>
  <c r="AU85" i="1"/>
  <c r="AT85" i="1"/>
  <c r="AS85" i="1"/>
  <c r="AR85" i="1"/>
  <c r="AV84" i="1"/>
  <c r="AU84" i="1"/>
  <c r="AT84" i="1"/>
  <c r="AS84" i="1"/>
  <c r="AR84" i="1"/>
  <c r="AV83" i="1"/>
  <c r="AU83" i="1"/>
  <c r="AT83" i="1"/>
  <c r="AS83" i="1"/>
  <c r="AR83" i="1"/>
  <c r="AV82" i="1"/>
  <c r="AU82" i="1"/>
  <c r="AT82" i="1"/>
  <c r="AS82" i="1"/>
  <c r="AR82" i="1"/>
  <c r="AV81" i="1"/>
  <c r="AU81" i="1"/>
  <c r="AT81" i="1"/>
  <c r="AS81" i="1"/>
  <c r="AR81" i="1"/>
  <c r="AV80" i="1"/>
  <c r="AU80" i="1"/>
  <c r="AT80" i="1"/>
  <c r="AS80" i="1"/>
  <c r="AR80" i="1"/>
  <c r="AV79" i="1"/>
  <c r="AU79" i="1"/>
  <c r="AT79" i="1"/>
  <c r="AS79" i="1"/>
  <c r="AR79" i="1"/>
  <c r="AV78" i="1"/>
  <c r="AU78" i="1"/>
  <c r="AT78" i="1"/>
  <c r="AS78" i="1"/>
  <c r="AR78" i="1"/>
  <c r="AV77" i="1"/>
  <c r="AU77" i="1"/>
  <c r="AT77" i="1"/>
  <c r="AS77" i="1"/>
  <c r="AR77" i="1"/>
  <c r="AV76" i="1"/>
  <c r="AU76" i="1"/>
  <c r="AT76" i="1"/>
  <c r="AS76" i="1"/>
  <c r="AR76" i="1"/>
  <c r="AV75" i="1"/>
  <c r="AU75" i="1"/>
  <c r="AT75" i="1"/>
  <c r="AS75" i="1"/>
  <c r="AR75" i="1"/>
  <c r="AV74" i="1"/>
  <c r="AU74" i="1"/>
  <c r="AT74" i="1"/>
  <c r="AS74" i="1"/>
  <c r="AR74" i="1"/>
  <c r="AV73" i="1"/>
  <c r="AU73" i="1"/>
  <c r="AT73" i="1"/>
  <c r="AS73" i="1"/>
  <c r="AR73" i="1"/>
  <c r="AV72" i="1"/>
  <c r="AU72" i="1"/>
  <c r="AT72" i="1"/>
  <c r="AS72" i="1"/>
  <c r="AR72" i="1"/>
  <c r="AV71" i="1"/>
  <c r="AU71" i="1"/>
  <c r="AT71" i="1"/>
  <c r="AS71" i="1"/>
  <c r="AR71" i="1"/>
  <c r="AV70" i="1"/>
  <c r="AU70" i="1"/>
  <c r="AT70" i="1"/>
  <c r="AS70" i="1"/>
  <c r="AR70" i="1"/>
  <c r="AV69" i="1"/>
  <c r="AU69" i="1"/>
  <c r="AT69" i="1"/>
  <c r="AS69" i="1"/>
  <c r="AR69" i="1"/>
  <c r="AV68" i="1"/>
  <c r="AU68" i="1"/>
  <c r="AT68" i="1"/>
  <c r="AS68" i="1"/>
  <c r="AR68" i="1"/>
  <c r="AV67" i="1"/>
  <c r="AU67" i="1"/>
  <c r="AT67" i="1"/>
  <c r="AS67" i="1"/>
  <c r="AR67" i="1"/>
  <c r="AV66" i="1"/>
  <c r="AU66" i="1"/>
  <c r="AT66" i="1"/>
  <c r="AS66" i="1"/>
  <c r="AR66" i="1"/>
  <c r="AV65" i="1"/>
  <c r="AU65" i="1"/>
  <c r="AT65" i="1"/>
  <c r="AS65" i="1"/>
  <c r="AR65" i="1"/>
  <c r="AV64" i="1"/>
  <c r="AU64" i="1"/>
  <c r="AT64" i="1"/>
  <c r="AS64" i="1"/>
  <c r="AR64" i="1"/>
  <c r="AV63" i="1"/>
  <c r="AU63" i="1"/>
  <c r="AT63" i="1"/>
  <c r="AS63" i="1"/>
  <c r="AR63" i="1"/>
  <c r="AV62" i="1"/>
  <c r="AU62" i="1"/>
  <c r="AT62" i="1"/>
  <c r="AS62" i="1"/>
  <c r="AR62" i="1"/>
  <c r="AV61" i="1"/>
  <c r="AU61" i="1"/>
  <c r="AT61" i="1"/>
  <c r="AS61" i="1"/>
  <c r="AR61" i="1"/>
  <c r="AV60" i="1"/>
  <c r="AU60" i="1"/>
  <c r="AT60" i="1"/>
  <c r="AS60" i="1"/>
  <c r="AR60" i="1"/>
  <c r="AV59" i="1"/>
  <c r="AU59" i="1"/>
  <c r="AT59" i="1"/>
  <c r="AS59" i="1"/>
  <c r="AR59" i="1"/>
  <c r="AV58" i="1"/>
  <c r="AU58" i="1"/>
  <c r="AT58" i="1"/>
  <c r="AS58" i="1"/>
  <c r="AR58" i="1"/>
  <c r="AV57" i="1"/>
  <c r="AU57" i="1"/>
  <c r="AT57" i="1"/>
  <c r="AS57" i="1"/>
  <c r="AR57" i="1"/>
  <c r="AV56" i="1"/>
  <c r="AU56" i="1"/>
  <c r="AT56" i="1"/>
  <c r="AS56" i="1"/>
  <c r="AR56" i="1"/>
  <c r="AV55" i="1"/>
  <c r="AU55" i="1"/>
  <c r="AT55" i="1"/>
  <c r="AS55" i="1"/>
  <c r="AR55" i="1"/>
  <c r="AV54" i="1"/>
  <c r="AU54" i="1"/>
  <c r="AT54" i="1"/>
  <c r="AS54" i="1"/>
  <c r="AR54" i="1"/>
  <c r="AV53" i="1"/>
  <c r="AU53" i="1"/>
  <c r="AT53" i="1"/>
  <c r="AS53" i="1"/>
  <c r="AR53" i="1"/>
  <c r="AV52" i="1"/>
  <c r="AU52" i="1"/>
  <c r="AT52" i="1"/>
  <c r="AS52" i="1"/>
  <c r="AR52" i="1"/>
  <c r="AV51" i="1"/>
  <c r="AU51" i="1"/>
  <c r="AT51" i="1"/>
  <c r="AS51" i="1"/>
  <c r="AR51" i="1"/>
  <c r="AV50" i="1"/>
  <c r="AU50" i="1"/>
  <c r="AT50" i="1"/>
  <c r="AS50" i="1"/>
  <c r="AR50" i="1"/>
  <c r="AV49" i="1"/>
  <c r="AU49" i="1"/>
  <c r="AT49" i="1"/>
  <c r="AS49" i="1"/>
  <c r="AR49" i="1"/>
  <c r="AV48" i="1"/>
  <c r="AU48" i="1"/>
  <c r="AT48" i="1"/>
  <c r="AS48" i="1"/>
  <c r="AR48" i="1"/>
  <c r="AV47" i="1"/>
  <c r="AU47" i="1"/>
  <c r="AT47" i="1"/>
  <c r="AS47" i="1"/>
  <c r="AR47" i="1"/>
  <c r="AV46" i="1"/>
  <c r="AU46" i="1"/>
  <c r="AT46" i="1"/>
  <c r="AS46" i="1"/>
  <c r="AR46" i="1"/>
  <c r="AV45" i="1"/>
  <c r="AU45" i="1"/>
  <c r="AT45" i="1"/>
  <c r="AS45" i="1"/>
  <c r="AR45" i="1"/>
  <c r="AV44" i="1"/>
  <c r="AU44" i="1"/>
  <c r="AT44" i="1"/>
  <c r="AS44" i="1"/>
  <c r="AR44" i="1"/>
  <c r="AV43" i="1"/>
  <c r="AU43" i="1"/>
  <c r="AT43" i="1"/>
  <c r="AS43" i="1"/>
  <c r="AR43" i="1"/>
  <c r="AV42" i="1"/>
  <c r="AU42" i="1"/>
  <c r="AT42" i="1"/>
  <c r="AS42" i="1"/>
  <c r="AR42" i="1"/>
  <c r="AV41" i="1"/>
  <c r="AU41" i="1"/>
  <c r="AT41" i="1"/>
  <c r="AS41" i="1"/>
  <c r="AR41" i="1"/>
  <c r="AV40" i="1"/>
  <c r="AU40" i="1"/>
  <c r="AT40" i="1"/>
  <c r="AS40" i="1"/>
  <c r="AR40" i="1"/>
  <c r="AV39" i="1"/>
  <c r="AU39" i="1"/>
  <c r="AT39" i="1"/>
  <c r="AS39" i="1"/>
  <c r="AR39" i="1"/>
  <c r="AV38" i="1"/>
  <c r="AU38" i="1"/>
  <c r="AT38" i="1"/>
  <c r="AS38" i="1"/>
  <c r="AR38" i="1"/>
  <c r="AV37" i="1"/>
  <c r="AU37" i="1"/>
  <c r="AT37" i="1"/>
  <c r="AS37" i="1"/>
  <c r="AR37" i="1"/>
  <c r="AV36" i="1"/>
  <c r="AU36" i="1"/>
  <c r="AT36" i="1"/>
  <c r="AS36" i="1"/>
  <c r="AR36" i="1"/>
  <c r="AV35" i="1"/>
  <c r="AU35" i="1"/>
  <c r="AT35" i="1"/>
  <c r="AS35" i="1"/>
  <c r="AR35" i="1"/>
  <c r="AV34" i="1"/>
  <c r="AU34" i="1"/>
  <c r="AT34" i="1"/>
  <c r="AS34" i="1"/>
  <c r="AR34" i="1"/>
  <c r="AV33" i="1"/>
  <c r="AU33" i="1"/>
  <c r="AT33" i="1"/>
  <c r="AS33" i="1"/>
  <c r="AR33" i="1"/>
  <c r="AV32" i="1"/>
  <c r="AU32" i="1"/>
  <c r="AT32" i="1"/>
  <c r="AS32" i="1"/>
  <c r="AR32" i="1"/>
  <c r="AV31" i="1"/>
  <c r="AU31" i="1"/>
  <c r="AT31" i="1"/>
  <c r="AS31" i="1"/>
  <c r="AR31" i="1"/>
  <c r="AV30" i="1"/>
  <c r="AU30" i="1"/>
  <c r="AT30" i="1"/>
  <c r="AS30" i="1"/>
  <c r="AR30" i="1"/>
  <c r="AV29" i="1"/>
  <c r="AU29" i="1"/>
  <c r="AT29" i="1"/>
  <c r="AS29" i="1"/>
  <c r="AR29" i="1"/>
  <c r="AV28" i="1"/>
  <c r="AU28" i="1"/>
  <c r="AT28" i="1"/>
  <c r="AS28" i="1"/>
  <c r="AR28" i="1"/>
  <c r="AW28" i="1" s="1"/>
  <c r="AV27" i="1"/>
  <c r="AU27" i="1"/>
  <c r="AT27" i="1"/>
  <c r="AS27" i="1"/>
  <c r="AR27" i="1"/>
  <c r="AV26" i="1"/>
  <c r="AU26" i="1"/>
  <c r="AT26" i="1"/>
  <c r="AS26" i="1"/>
  <c r="AR26" i="1"/>
  <c r="AV25" i="1"/>
  <c r="AU25" i="1"/>
  <c r="AT25" i="1"/>
  <c r="AS25" i="1"/>
  <c r="AR25" i="1"/>
  <c r="AV24" i="1"/>
  <c r="AU24" i="1"/>
  <c r="AT24" i="1"/>
  <c r="AS24" i="1"/>
  <c r="AR24" i="1"/>
  <c r="AV23" i="1"/>
  <c r="AU23" i="1"/>
  <c r="AT23" i="1"/>
  <c r="AS23" i="1"/>
  <c r="AR23" i="1"/>
  <c r="AV22" i="1"/>
  <c r="AU22" i="1"/>
  <c r="AT22" i="1"/>
  <c r="AS22" i="1"/>
  <c r="AR22" i="1"/>
  <c r="AV21" i="1"/>
  <c r="AU21" i="1"/>
  <c r="AT21" i="1"/>
  <c r="AS21" i="1"/>
  <c r="AR21" i="1"/>
  <c r="AV20" i="1"/>
  <c r="AU20" i="1"/>
  <c r="AT20" i="1"/>
  <c r="AS20" i="1"/>
  <c r="AR20" i="1"/>
  <c r="AV19" i="1"/>
  <c r="AU19" i="1"/>
  <c r="AT19" i="1"/>
  <c r="AS19" i="1"/>
  <c r="AR19" i="1"/>
  <c r="AV18" i="1"/>
  <c r="AU18" i="1"/>
  <c r="AT18" i="1"/>
  <c r="AS18" i="1"/>
  <c r="AR18" i="1"/>
  <c r="AV17" i="1"/>
  <c r="AU17" i="1"/>
  <c r="AT17" i="1"/>
  <c r="AS17" i="1"/>
  <c r="AR17" i="1"/>
  <c r="AV16" i="1"/>
  <c r="AU16" i="1"/>
  <c r="AT16" i="1"/>
  <c r="AS16" i="1"/>
  <c r="AR16" i="1"/>
  <c r="AV15" i="1"/>
  <c r="AU15" i="1"/>
  <c r="AT15" i="1"/>
  <c r="AS15" i="1"/>
  <c r="AR15" i="1"/>
  <c r="AV14" i="1"/>
  <c r="AU14" i="1"/>
  <c r="AT14" i="1"/>
  <c r="AS14" i="1"/>
  <c r="AR14" i="1"/>
  <c r="AV13" i="1"/>
  <c r="AU13" i="1"/>
  <c r="AT13" i="1"/>
  <c r="AS13" i="1"/>
  <c r="AR13" i="1"/>
  <c r="AV12" i="1"/>
  <c r="AU12" i="1"/>
  <c r="AT12" i="1"/>
  <c r="AS12" i="1"/>
  <c r="AR12" i="1"/>
  <c r="AV11" i="1"/>
  <c r="AU11" i="1"/>
  <c r="AT11" i="1"/>
  <c r="AS11" i="1"/>
  <c r="AR11" i="1"/>
  <c r="AV10" i="1"/>
  <c r="AU10" i="1"/>
  <c r="AT10" i="1"/>
  <c r="AS10" i="1"/>
  <c r="AR10" i="1"/>
  <c r="AV9" i="1"/>
  <c r="AU9" i="1"/>
  <c r="AT9" i="1"/>
  <c r="AS9" i="1"/>
  <c r="AR9" i="1"/>
  <c r="AV8" i="1"/>
  <c r="AU8" i="1"/>
  <c r="AT8" i="1"/>
  <c r="AS8" i="1"/>
  <c r="AR8" i="1"/>
  <c r="AV7" i="1"/>
  <c r="AU7" i="1"/>
  <c r="AT7" i="1"/>
  <c r="AS7" i="1"/>
  <c r="AR7" i="1"/>
  <c r="AV6" i="1"/>
  <c r="AU6" i="1"/>
  <c r="AT6" i="1"/>
  <c r="AS6" i="1"/>
  <c r="AR6" i="1"/>
  <c r="AV5" i="1"/>
  <c r="AU5" i="1"/>
  <c r="AT5" i="1"/>
  <c r="AS5" i="1"/>
  <c r="AR5" i="1"/>
  <c r="AV4" i="1"/>
  <c r="AU4" i="1"/>
  <c r="AT4" i="1"/>
  <c r="AS4" i="1"/>
  <c r="AR4" i="1"/>
  <c r="AW4" i="1" s="1"/>
  <c r="AV3" i="1"/>
  <c r="AU3" i="1"/>
  <c r="AT3" i="1"/>
  <c r="AS3" i="1"/>
  <c r="AR3" i="1"/>
  <c r="AV2" i="1"/>
  <c r="AU2" i="1"/>
  <c r="AT2" i="1"/>
  <c r="AS2" i="1"/>
  <c r="AR2" i="1"/>
  <c r="AW44" i="1" l="1"/>
  <c r="AW16" i="1"/>
  <c r="AW23" i="1"/>
  <c r="AW9" i="1"/>
  <c r="AW88" i="1"/>
  <c r="AW104" i="1"/>
  <c r="AW112" i="1"/>
  <c r="AW21" i="1"/>
  <c r="AW147" i="1"/>
  <c r="AW6" i="1"/>
  <c r="AW33" i="1"/>
  <c r="AW128" i="1"/>
  <c r="AW146" i="1"/>
  <c r="AW154" i="1"/>
  <c r="AW162" i="1"/>
  <c r="AW22" i="1"/>
  <c r="AW30" i="1"/>
  <c r="AW81" i="1"/>
  <c r="AW86" i="1"/>
  <c r="AW108" i="1"/>
  <c r="AW117" i="1"/>
  <c r="AW119" i="1"/>
  <c r="AW125" i="1"/>
  <c r="AW135" i="1"/>
  <c r="AW143" i="1"/>
  <c r="AW151" i="1"/>
  <c r="AW159" i="1"/>
  <c r="AW102" i="1"/>
  <c r="AW124" i="1"/>
  <c r="AW132" i="1"/>
  <c r="AW140" i="1"/>
  <c r="AW148" i="1"/>
  <c r="AW8" i="1"/>
  <c r="AW48" i="1"/>
  <c r="AW56" i="1"/>
  <c r="AW64" i="1"/>
  <c r="AW72" i="1"/>
  <c r="AW80" i="1"/>
  <c r="AW110" i="1"/>
  <c r="AW32" i="1"/>
  <c r="AW43" i="1"/>
  <c r="AW118" i="1"/>
  <c r="AW34" i="1"/>
  <c r="AW40" i="1"/>
  <c r="AW66" i="1"/>
  <c r="AW74" i="1"/>
  <c r="AW29" i="1"/>
  <c r="AW31" i="1"/>
  <c r="AW39" i="1"/>
  <c r="AW53" i="1"/>
  <c r="AW55" i="1"/>
  <c r="AW136" i="1"/>
  <c r="AW152" i="1"/>
  <c r="AW160" i="1"/>
  <c r="AW61" i="1"/>
  <c r="AW83" i="1"/>
  <c r="AW113" i="1"/>
  <c r="AW157" i="1"/>
  <c r="AW38" i="1"/>
  <c r="AW60" i="1"/>
  <c r="AW71" i="1"/>
  <c r="AW77" i="1"/>
  <c r="AW79" i="1"/>
  <c r="AW82" i="1"/>
  <c r="AW91" i="1"/>
  <c r="AW96" i="1"/>
  <c r="AW129" i="1"/>
  <c r="AW134" i="1"/>
  <c r="AW156" i="1"/>
  <c r="AW165" i="1"/>
  <c r="AW5" i="1"/>
  <c r="AW11" i="1"/>
  <c r="AW46" i="1"/>
  <c r="AW49" i="1"/>
  <c r="AW57" i="1"/>
  <c r="AW68" i="1"/>
  <c r="AW76" i="1"/>
  <c r="AW85" i="1"/>
  <c r="AW87" i="1"/>
  <c r="AW98" i="1"/>
  <c r="AW107" i="1"/>
  <c r="AW120" i="1"/>
  <c r="AW137" i="1"/>
  <c r="AW142" i="1"/>
  <c r="AW145" i="1"/>
  <c r="AW150" i="1"/>
  <c r="AW164" i="1"/>
  <c r="AW27" i="1"/>
  <c r="AW54" i="1"/>
  <c r="AW62" i="1"/>
  <c r="AW73" i="1"/>
  <c r="AW84" i="1"/>
  <c r="AW101" i="1"/>
  <c r="AW103" i="1"/>
  <c r="AW106" i="1"/>
  <c r="AW115" i="1"/>
  <c r="AW153" i="1"/>
  <c r="AW158" i="1"/>
  <c r="AW13" i="1"/>
  <c r="AW15" i="1"/>
  <c r="AW26" i="1"/>
  <c r="AW70" i="1"/>
  <c r="AW78" i="1"/>
  <c r="AW92" i="1"/>
  <c r="AW100" i="1"/>
  <c r="AW109" i="1"/>
  <c r="AW111" i="1"/>
  <c r="AW122" i="1"/>
  <c r="AW131" i="1"/>
  <c r="AW144" i="1"/>
  <c r="AW161" i="1"/>
  <c r="AW37" i="1"/>
  <c r="AW42" i="1"/>
  <c r="AW97" i="1"/>
  <c r="AW133" i="1"/>
  <c r="AW10" i="1"/>
  <c r="AW25" i="1"/>
  <c r="AW36" i="1"/>
  <c r="AW45" i="1"/>
  <c r="AW47" i="1"/>
  <c r="AW50" i="1"/>
  <c r="AW58" i="1"/>
  <c r="AW67" i="1"/>
  <c r="AW75" i="1"/>
  <c r="AW105" i="1"/>
  <c r="AW141" i="1"/>
  <c r="AW149" i="1"/>
  <c r="B181" i="1"/>
  <c r="AW163" i="1"/>
  <c r="AW138" i="1"/>
  <c r="AW126" i="1"/>
  <c r="AW12" i="1"/>
  <c r="AW63" i="1"/>
  <c r="AW51" i="1"/>
  <c r="AW18" i="1"/>
  <c r="AW17" i="1"/>
  <c r="AW19" i="1"/>
  <c r="AW14" i="1"/>
  <c r="AW69" i="1"/>
  <c r="AW121" i="1"/>
  <c r="AW52" i="1"/>
  <c r="AW24" i="1"/>
  <c r="AW65" i="1"/>
  <c r="AW123" i="1"/>
  <c r="AW90" i="1"/>
  <c r="AW7" i="1"/>
  <c r="AW155" i="1"/>
  <c r="AW3" i="1"/>
  <c r="AW35" i="1"/>
  <c r="AW89" i="1"/>
  <c r="AW130" i="1"/>
  <c r="AW99" i="1"/>
  <c r="AW2" i="1"/>
  <c r="AW127" i="1"/>
  <c r="AW114" i="1"/>
  <c r="AW41" i="1"/>
  <c r="AW20" i="1"/>
  <c r="AW116" i="1"/>
  <c r="AW59" i="1"/>
  <c r="AU169" i="1"/>
  <c r="AU168" i="1"/>
  <c r="AU170" i="1"/>
  <c r="AU171" i="1"/>
  <c r="AU172" i="1"/>
  <c r="AW95" i="1"/>
  <c r="AW94" i="1"/>
  <c r="AW93" i="1"/>
  <c r="AW16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Jamie Smyth</author>
    <author>tc={63FF3981-6183-432F-A053-5D9B58301D2D}</author>
    <author>tc={DF90B4AB-CC9D-4032-AB4F-73AC9317E1A5}</author>
    <author>tc={DC4D0831-7AA9-40CF-9821-F566769D1543}</author>
    <author>tc={B79A583D-C52F-4B26-9B71-3563EEAC2B76}</author>
    <author>Ogier, Anna S</author>
    <author>tc={B052753F-88BC-4AAE-8DEC-2D40C7D3BF57}</author>
    <author>tc={C936EDB6-DDB6-41D9-9EEB-5FC57F6B02F1}</author>
    <author>tc={1A8007DB-D2C6-4633-A715-DBE094EA28C3}</author>
    <author>tc={917818A2-CD95-438E-B48A-16846C13D3A7}</author>
    <author>tc={0F9C1E62-902E-4D32-97DD-DBBA5EA2B73E}</author>
    <author>tc={716D4E3D-F052-452F-A62F-CA7AA6E7FEB4}</author>
    <author>tc={A5DD5A92-6B5E-4926-86BB-8955E2D9A437}</author>
    <author>tc={023A5079-3100-4692-A24C-D1195FF48F3E}</author>
    <author>tc={53A5B20B-CCF8-48FA-8526-9792CB20152F}</author>
    <author>tc={527BBC17-C35A-4DD0-A335-AF08DCBDE03F}</author>
    <author>tc={842CF12A-3F1E-4AB8-AD3D-608A9949DCAF}</author>
    <author>tc={C2D6F138-E5D2-429B-98F7-0BB0EDC6CCB8}</author>
    <author>tc={EC89219D-939F-4100-8F05-C5007496F7A3}</author>
    <author>tc={AE1935F8-4C40-4DD5-8547-DBE2B8ED2875}</author>
    <author>tc={B8A76D52-3BB0-4F9E-8633-D3EC1D09056C}</author>
    <author>tc={DB757A31-808C-4139-958C-494CB3DE056C}</author>
    <author>tc={C75F8CAB-18FA-4E5C-B85B-A07A466C16B0}</author>
    <author>tc={AD6F6864-95B1-4713-BFA5-B78E680CAB26}</author>
    <author>tc={87755C01-3F3F-4CA0-B100-44BA6E545648}</author>
    <author>tc={00260361-0A95-4E80-A6FC-8D05387D8D75}</author>
    <author>tc={20B577D9-B30F-4597-8154-793D5193EA64}</author>
    <author>tc={93965433-6522-4EA0-BE39-729164BEC089}</author>
    <author>tc={0A544111-E5BA-4519-BDF1-0FA4FA3813E0}</author>
    <author>tc={F0459A33-9CA0-4012-83C2-6D012E80772D}</author>
    <author>tc={6ACA9D3C-B629-4BBE-BC0D-1111FB4DA0CD}</author>
    <author>tc={2554C0C4-E82A-44BB-AB49-AD4F6928CECB}</author>
    <author>tc={83DF8F3F-ADBE-4FC1-8A06-91D1F3229D5C}</author>
    <author>tc={53A5B20B-CCF8-48FB-8526-9792CB20152F}</author>
    <author>tc={4677B710-2040-4C00-8A15-7B4E1A176F47}</author>
    <author>tc={AB45DB3A-A78B-48A7-BFD9-3B0C4F27ADF2}</author>
    <author>tc={A0463316-B4E6-4E67-9150-5595A7716EC1}</author>
    <author>tc={53A5B20B-CCF8-48FC-8526-9792CB20152F}</author>
    <author>tc={E8EFF839-C4B8-4AC9-B0AF-E668573D3970}</author>
    <author>tc={53A5B20B-CCF8-48FD-8526-9792CB20152F}</author>
    <author>tc={77858E27-6D12-4833-90BD-8AEBD07368BD}</author>
    <author>tc={E861EBD4-8EAC-488B-AD70-2F1969E3A609}</author>
    <author>tc={C7830C5C-BA18-4672-B323-6DEF8550171B}</author>
    <author>tc={37E1ED9F-DB28-4638-97CD-A80A33794ED4}</author>
    <author>tc={1F9A7A00-41DC-4A9B-90CE-ECA876209840}</author>
    <author>tc={1F0E4B1A-441E-4AB4-9AF8-10344B8FDD2E}</author>
    <author>tc={53A5B20B-CCF8-48FE-8526-9792CB20152F}</author>
    <author>tc={DCE3107F-D018-48EA-8B8A-B61D733180FB}</author>
    <author>tc={927AFAF1-1FAB-40C5-B59D-552959F7F85A}</author>
    <author>tc={E0BAAB60-93DA-4DF1-958E-A99CE5ABB0A6}</author>
    <author>tc={76C09B9D-C594-4531-9FEF-E68BF336473B}</author>
    <author>tc={D3B89DDE-1F05-4F8F-9927-8CD78C80AA5E}</author>
    <author>tc={C8697DFD-0B1D-4F99-87DA-4E87C7F33623}</author>
    <author>tc={F3281B17-2A72-480B-ABF9-786D83A9283B}</author>
    <author>tc={CD851170-8BE9-409A-95F6-040E7D90B386}</author>
    <author>tc={1E8AA6D7-DC39-46B0-98EA-8608F4AFCCE8}</author>
    <author>tc={90150F86-093A-41A4-9E9F-2274C0DEEC5D}</author>
    <author>tc={57FD4BDF-6A73-4754-BE08-791F5A36C42E}</author>
    <author>tc={CD96FCE1-AB86-4646-97AC-B3AD7868FE70}</author>
    <author>tc={AC054459-7559-4F37-8912-A174AF7CDB13}</author>
    <author>tc={1A6C699F-3DE3-4962-A300-D1B39285E783}</author>
    <author>tc={EB222A1A-C950-43C7-A642-1862CEF0449F}</author>
    <author>tc={D553B37D-9D27-4116-8A4C-CB15C6786DA2}</author>
    <author>tc={5ACDB752-32C7-4E97-AEF3-F73BFD377FBE}</author>
    <author>tc={CF1D09E2-F077-4F1E-82BE-3D8CABDC50C1}</author>
    <author>tc={EB834F2F-E2AA-4D46-8374-4D2FFBE99CC2}</author>
    <author>tc={431C98E7-87C3-4049-BE27-1733030883E0}</author>
    <author>tc={351B3DE0-A114-4438-ACCA-A41A913D36F1}</author>
    <author>tc={E3BF6242-1B07-4F57-B5D0-DBB8D4E95293}</author>
    <author>tc={92F24024-7970-4317-B72B-F047AE725144}</author>
    <author>tc={8B9830CE-AA20-40EF-89F2-C61C863E200D}</author>
    <author>tc={0254F136-A52E-4E7A-B8BD-1E0A69A461FF}</author>
    <author>tc={9820304B-D4BD-41D9-B863-DDF3E8C5013E}</author>
    <author>tc={58EFC9D1-4B76-48FA-9A0A-97917D3D6D9C}</author>
    <author>tc={9993CE51-1040-4094-A4FB-02C96D0CD836}</author>
    <author>tc={78890779-7930-4757-A061-9BBC3DD19F66}</author>
    <author>tc={F60ECB0A-4CFD-4031-8FA5-D29552E4031D}</author>
    <author>tc={694DE290-F9AA-4ECC-92D4-BB033D306C6E}</author>
    <author>tc={DC2CE7EA-BB89-4B34-94AE-7DDDD4448335}</author>
    <author>tc={15011604-A439-4B06-A00C-A80AAE25A6E5}</author>
    <author>tc={9993CE51-1040-4095-A4FB-02C96D0CD836}</author>
    <author>tc={779D5B5C-C0D4-45A4-BF95-A7ABDDD24C07}</author>
    <author>tc={830F3859-F169-4B55-BDF3-075907A9B43B}</author>
    <author>tc={430853C5-1789-4DB9-8CBB-2D2E0B5914D3}</author>
    <author>tc={EB2E43CE-6F21-44F1-9A2D-D93FFF40264C}</author>
    <author>tc={A512ABA2-9D6E-407C-9A29-5978B7C10C75}</author>
    <author>tc={B3DAAA8A-9E58-4FF8-A3B5-FFA302CD941C}</author>
    <author>tc={5D4B6CD4-7F27-4D56-B91D-B38993141C60}</author>
    <author>tc={C7390AF9-EAD7-424C-B4FD-E6CA1EAFD458}</author>
    <author>tc={839FB041-5231-4075-8647-D438C982F9B1}</author>
    <author>tc={D5A77555-4C67-4E07-87FA-E4CE82F48F89}</author>
    <author>tc={1563DE85-073E-4D97-A2E3-5DCF4DC1FCC3}</author>
    <author>tc={CDAA0F77-E987-4B6B-A6C8-60D7E8DC9B91}</author>
    <author>tc={3CBF8CD4-EBAE-495D-93E9-34A8584D9817}</author>
    <author>tc={AF888007-26CC-409F-968A-DCAE5D5C7211}</author>
    <author>tc={D567F99C-479C-4FEC-905A-D145ECB4CA7E}</author>
    <author>tc={3D3A6BCB-3633-444D-A5B5-E8BE28098384}</author>
    <author>tc={D3884141-00EF-41AA-8EC3-927311AF5F58}</author>
    <author>tc={C99494FE-1AE2-410A-ACD3-D69AE640535C}</author>
    <author>tc={8D7A9539-8806-48D6-AD94-FE4E03C507A6}</author>
    <author>tc={597D7828-2D8B-49E5-AE1E-77FC2FE17B30}</author>
    <author>tc={6CA994FF-15AD-4432-82F0-E59513FC0ED9}</author>
    <author>tc={A57C454A-815A-49F7-85E6-D9907BFE8998}</author>
    <author>tc={272BA10F-55C4-46F9-A777-3E26CD79DEA3}</author>
    <author>tc={B675E544-E059-4CC9-B0AC-1874EA9105EC}</author>
    <author>tc={CBAF24D0-5DEC-4BC6-87BE-49A422857F5A}</author>
    <author>tc={DD4B57BB-C7DE-427F-91E4-341B671387ED}</author>
    <author>tc={B0A438CB-A213-44DB-A05F-80EFB107936C}</author>
    <author>tc={FBCDE3AB-F606-47E6-ABF7-F97BD5598A41}</author>
    <author>tc={5B363FB1-0F4F-4D8E-AF0A-7F2EFC1B00B8}</author>
    <author>tc={79A900BB-3672-4092-AB87-A4992A996ED5}</author>
    <author>tc={F7B44604-F9E4-4C9B-8414-0E000C8F6E8C}</author>
    <author>tc={6851E343-FC1D-4611-A28C-F8A9B29564DE}</author>
    <author>tc={5CB1A616-0695-4ECE-8666-AE19500F60D9}</author>
    <author>tc={7D6C659A-CB80-4224-84CE-9735D9F9ED86}</author>
    <author>tc={CCFC16C2-2730-4EEC-A40E-D31746A205D6}</author>
    <author>tc={FAAA7806-D383-4FAE-9EF4-8F777C213D51}</author>
    <author>tc={DFD41F92-6D83-48DB-9B25-703417D89321}</author>
    <author>tc={AF56EDC8-D0CB-471F-A6E1-94F4B912E4CD}</author>
    <author>tc={D4A0DB1A-24F6-4A58-9E24-27FFBD645280}</author>
    <author>tc={DEB34441-0727-40C9-9A28-DED3E3BC99E9}</author>
    <author>tc={0CF7D545-BED7-4DAF-AA91-FB623D7E11AC}</author>
    <author>tc={15CE67EC-9E52-4552-A4AF-9614316131D6}</author>
    <author>tc={62D43815-E7DB-497E-8A61-A6BA03EB57D7}</author>
    <author>tc={6EB91C6E-DF8E-4EDA-8B76-41F13DC9860F}</author>
    <author>tc={6B190C02-7181-4157-A4C9-9E9B8456FB9C}</author>
    <author>tc={101D4D43-651D-48B3-BBA0-2438FBC65436}</author>
    <author>tc={B8C82022-3220-4014-8AA8-9E1410402F5F}</author>
    <author>tc={F19B5AEB-431C-444F-AE1E-B467229BCDA2}</author>
    <author>tc={D42ECCB1-1CE6-455E-87FA-098D261F27CA}</author>
    <author>tc={CC446E2E-2384-4FE6-9E2F-C6E996CA29C3}</author>
    <author>tc={B8C82022-3220-4015-8AA8-9E1410402F5F}</author>
    <author>tc={CCF0FD1B-1CD7-40F7-BADD-F6A223594260}</author>
    <author>tc={715DAADD-3592-4DD4-9BF6-F820B547E70F}</author>
    <author>tc={88179B65-2225-4191-9765-502DD09A3BB4}</author>
    <author>tc={2E9EA05B-62EB-4738-A916-2E3CC93D2C97}</author>
    <author>tc={95ACAEA9-9268-4587-BA72-71B6EDE4909D}</author>
    <author>tc={DBBD5FD9-CBEE-44FA-AFDB-E51497C6284F}</author>
    <author>tc={19441002-6363-4E85-9EA0-D9DC49D236C3}</author>
    <author>tc={8555F37C-E283-45A9-BFA3-45EB1BC8163D}</author>
    <author>tc={EDDB1904-0D3C-4178-A3E7-593E9CF1B3E9}</author>
    <author>tc={96739E88-53F2-47AF-9CA5-8540FDCCE199}</author>
    <author>tc={0BE30684-995F-4F47-8C96-FCB0AEC2D744}</author>
    <author>tc={616C7529-2931-4159-ABB0-13D043968D48}</author>
    <author>tc={E86AE0F9-157B-46EF-92EE-B58AD20724B5}</author>
    <author>tc={AF635975-1376-4E70-9E9D-932A9DEBED2E}</author>
    <author>tc={EEB0D35F-3CEB-4F48-B130-9CE9115DF78B}</author>
    <author>tc={B8A4B145-9FDE-4F19-979F-DF45222C27F3}</author>
    <author>tc={FC1607DC-D87D-4AA0-9F3A-1E21495F0A25}</author>
    <author>tc={DDD7F97B-75EF-4A43-BA7D-4E5875C29234}</author>
    <author>tc={55AF9094-D461-4184-AD28-275BB965B510}</author>
    <author>tc={CF558CC9-02A3-43D2-9F77-005399363C60}</author>
    <author>tc={61135C52-07AD-4346-BDC1-3B86DCB46567}</author>
    <author>tc={0874B328-E380-4A44-B50A-D4452AEA332A}</author>
    <author>tc={0E4C8720-2A17-4292-808B-22E00D9CFD5B}</author>
    <author>tc={D0A41A79-E4D7-4A70-ABFB-282AE32BD0BE}</author>
    <author>tc={04EE37B5-ACE4-4DBE-82E8-9E5D0690F318}</author>
    <author>tc={D5C2AFA3-3219-4884-9E5B-A5613C98FA01}</author>
    <author>tc={422C65B5-2ABA-419E-BA27-21F7D1FBCA7D}</author>
    <author>tc={01379503-9257-4E0A-BEA4-5E7B568D12CB}</author>
    <author>tc={A25D6805-DD96-46A1-9556-8A4F338C3E6D}</author>
    <author>tc={828EB5DE-8474-4CAB-B6A4-4E8E45BF1F4B}</author>
    <author>tc={18D8C314-03C0-4643-A593-DEC90755F337}</author>
    <author>tc={98C82D1E-955D-4059-8D2E-039BDE155923}</author>
    <author>tc={3290EDC8-212E-4907-B49C-1E96385F3D6C}</author>
    <author>tc={BB0FDD9A-4970-4EBB-B135-1AC84094BEF1}</author>
    <author>tc={7AB67767-8228-4163-9FD5-B00DBC06C7CC}</author>
    <author>tc={8CF84F5D-D5FA-47E2-9327-E980B61BC7EB}</author>
    <author>tc={DD0144A7-C178-4C4C-88DE-0773F485290A}</author>
    <author>tc={9048F530-0B6E-4AC1-B54F-9F5A52B42779}</author>
    <author>tc={83E3D2BE-657C-44CD-8A25-82F1D7372588}</author>
    <author>tc={9F268600-F96A-46E2-B124-C7D76AEE8FDB}</author>
    <author>tc={F09B5281-C4EB-49F4-902C-FF55C8B4C531}</author>
    <author>tc={152628F8-B0B2-4359-921C-5DA81705B4C8}</author>
    <author>tc={60EEA8B6-5BB2-4DAE-9A07-F2BC8DF61C8A}</author>
    <author>tc={9E736365-F234-4D05-99FB-064540FCB358}</author>
    <author>tc={A2593527-1FD5-4695-86B2-F08E2E05746A}</author>
    <author>tc={AF1819DE-91CE-4E78-8CD3-E23637747D10}</author>
    <author>tc={CAB1D404-AF41-4B07-9481-21B337CEF21D}</author>
    <author>tc={A33DB207-F254-44CB-8DED-584E434C6A1B}</author>
    <author>tc={E2DCAFF8-895F-4F98-A4F5-1DFBBAD2DEAE}</author>
    <author>tc={E6CA4248-9E75-40AD-9250-B0635FE3E920}</author>
    <author>tc={4EA74D3C-A0D8-4842-837D-252C20E19B62}</author>
    <author>tc={ED6C282B-5EB8-429D-B988-4EBA97A85EE6}</author>
    <author>tc={55FEFB15-4456-42C0-921E-D0E9DC09105A}</author>
    <author>tc={C2D6CC7B-DBF1-4476-B808-D6BDD7249E02}</author>
    <author>tc={39A0D11B-62CF-40BE-BCFD-DA63FC9DCCBF}</author>
    <author>tc={86B7C64D-35CE-4548-A89E-6EBB70952B8C}</author>
    <author>tc={7C07674A-E282-4801-88A0-F7C1F17D0BD5}</author>
    <author>tc={D1F4CAFC-58C6-469F-BD97-D17E54F5ADEF}</author>
    <author>tc={A91A5D65-1B99-4821-8DCD-775AF577FB61}</author>
    <author>tc={2F5B24D8-8093-422B-8485-B4B87D7F96D0}</author>
    <author>tc={FDAA6F32-CEF5-454B-908B-56E7BFBEC0DB}</author>
    <author>tc={59BBD8EE-8AB2-4725-BE71-2CC4AB1413EB}</author>
    <author>tc={95BB1C39-75E3-430F-905D-48707E54EF15}</author>
    <author>tc={9E736365-F234-4D06-99FB-064540FCB358}</author>
    <author>tc={D79DF863-7D7D-4AA7-A1C5-2D2D01306EF0}</author>
    <author>tc={24A5E504-C2E3-4081-ADDA-44891F0C92A4}</author>
    <author>tc={208C015C-8533-4D8E-958C-551065CF2609}</author>
    <author>tc={BB8A0E13-3EBC-40F5-8506-45F57C8BE74C}</author>
    <author>tc={D61F0B63-9B6F-4EF3-BFAD-D2EC8A32FB64}</author>
    <author>tc={B988F707-B556-462F-9765-E0E48A075DC7}</author>
    <author>tc={B62ECFD9-8617-45C6-85AD-313BCCC89D70}</author>
    <author>tc={256C501E-60A2-4760-8783-C094C02E55CA}</author>
    <author>tc={E6CA4248-9E75-40AC-9250-B0635FE3E920}</author>
    <author>tc={47B5B368-CCF1-4878-9186-B54C4634BD64}</author>
    <author>tc={5DB3666D-C70D-49AD-981E-F03F351FA1D5}</author>
    <author>tc={EAEF083B-4FDE-456A-9A8F-A6EDB675B9A6}</author>
    <author>tc={55FEFB15-4456-42C1-921E-D0E9DC09105A}</author>
    <author>tc={0DD11EE1-65BE-45BB-B10D-5888D9A480DF}</author>
    <author>tc={D91EC4A9-6270-464F-AC3F-1B149A12C4E2}</author>
    <author>tc={89DD8CB5-5439-4F35-B6ED-B4F8AD77894E}</author>
    <author>tc={E6C8B7B2-9498-4A02-B8F9-672C87A3E9E9}</author>
    <author>tc={29378E35-1C38-46E8-B38E-56533828B383}</author>
    <author>tc={D452253F-B7CA-4B8A-B550-7698AEBDA6E6}</author>
    <author>tc={9737F2D4-1A49-49D0-9649-07EEA040DF50}</author>
    <author>tc={BFD5E0E0-BCF2-4FD4-B6B8-37CFE16A31FA}</author>
    <author>tc={80ECD60D-7946-4961-99D5-63BE332DCF3A}</author>
    <author>tc={726D0ECE-4A5F-4997-8BBB-37011EEDBB9B}</author>
    <author>tc={509E79CD-74DC-4BA4-BFE1-7D77C65C7761}</author>
    <author>tc={97F768E0-6DBA-4B01-84F9-5EF1D438EA4D}</author>
    <author>tc={4BBF9B8E-3F05-405F-879A-940BBC2929BA}</author>
    <author>tc={27433FD1-A9E9-4016-8E78-0B3B2478DE52}</author>
    <author>tc={945C4D79-1BE6-4F82-94A0-E37DEDBFD7D2}</author>
    <author>tc={BF23A95B-A8F5-43D0-A300-8D8BDB878139}</author>
    <author>tc={41671E69-494B-4B97-B315-483882A83556}</author>
    <author>tc={92D26D5A-F221-41E9-A305-5E14B33FB61D}</author>
    <author>tc={C30B8710-61C8-4F6E-98CE-A3D67B3C4449}</author>
    <author>tc={415FDCF8-079E-4651-9293-A8D5431A5704}</author>
    <author>tc={4C149F9B-A770-4675-8361-AEA794FB903F}</author>
    <author>tc={5E6D2E1C-3FC0-49AD-B582-90C2F759E3B3}</author>
    <author>tc={886EA34B-8898-40A5-84AB-98036007CB52}</author>
    <author>tc={D7AC68BF-D62B-4FF1-A5E3-75547415C37F}</author>
    <author>tc={B2915A72-51ED-4171-B362-54BD73BECECD}</author>
    <author>tc={83F15C6E-4EF0-48AD-99A4-DDD2A8F607BB}</author>
    <author>tc={1E83A972-AB31-45F2-B786-79EA3A7AC0EF}</author>
    <author>tc={6BE740A6-305B-4328-9CCD-449A59807159}</author>
    <author>tc={DE5255D4-CAC5-4671-AC03-2A3AFF8CC3AB}</author>
    <author>tc={CDCD4AB7-5951-459A-8E51-C1591906E33E}</author>
    <author>tc={58B7A831-0E37-4FC5-A05E-55AB8CC546F6}</author>
    <author>tc={3AC8A55A-E6BD-4B91-97FE-C5D08DCE721C}</author>
    <author>tc={9CB1C7DE-728C-4C3A-9540-507C09AE52E0}</author>
    <author>tc={6559BE24-7D84-4178-B2C4-6FC9CBED8C04}</author>
    <author>tc={2745CE81-DA1C-43EA-ADA5-DBF38EC6A6B3}</author>
    <author>tc={BB95BEA3-09F4-4661-AC4E-BE01F55950CE}</author>
    <author>tc={3ECDD838-5CC0-4F7E-8481-2A9F59E0C6DD}</author>
    <author>Smyth, Jamie B</author>
    <author>tc={E1C21EB1-8514-454D-9881-8659A141F33C}</author>
    <author>tc={DF197CC7-7950-43EE-BA7C-1FEBCA604F89}</author>
    <author>tc={47298FAE-847A-41D9-9B74-53D983C00FE2}</author>
    <author>tc={E568A88A-18CC-448A-AA72-94CBB33137F8}</author>
    <author>tc={DC40CFB4-2F0B-407F-AD08-39F48B80C7F6}</author>
    <author>tc={DCB36BEA-405D-41C3-8E92-97C80D28A374}</author>
    <author>tc={923EDE6F-D7E1-4298-808E-DE3BFFB587D1}</author>
    <author>tc={9329FEF6-DD2C-4A84-B858-10CA0CF5A7FB}</author>
    <author>tc={F01E2E31-014A-47BF-B161-6CCB5EFA2638}</author>
    <author>tc={C6591AFA-8CDB-4E58-8428-885F357C2528}</author>
    <author>tc={BA304FDD-3888-4B87-9447-5181A5D55385}</author>
    <author>tc={A90EC008-6F76-4440-977B-05A5D1BF0DD0}</author>
    <author>tc={028EFCCA-638A-4A0F-921C-CDB7046D4429}</author>
    <author>tc={EED2E593-DD4E-4588-A928-8133A24B8098}</author>
    <author>tc={71A8B311-B7E6-40CA-82CB-641DD804EBA1}</author>
    <author>tc={569D6033-34F6-44AA-A216-E06904F4EF19}</author>
    <author>tc={D540B376-861E-4ADE-9F6B-01600590DFED}</author>
    <author>tc={40B39D79-DC73-44F7-A4F4-4B072D320886}</author>
    <author>tc={A2DEB62B-8C19-4588-88A0-40C253F97039}</author>
    <author>tc={22BEE028-6CCB-4DB4-BAAB-B29D25D9CE09}</author>
    <author>tc={4CEA88B9-38FE-4009-A339-72EC703494D9}</author>
    <author>tc={652A9CAC-BE70-4AB9-8819-F3AA52B707D8}</author>
    <author>tc={B69B94B5-EEE5-4B6F-A24F-0A10A4F6BF12}</author>
    <author>tc={CD47F3BD-8BC5-4C54-ACDF-E1F2AEE4D21D}</author>
    <author>tc={9F624B52-8B80-4FC0-ABBC-F919A4AF4438}</author>
    <author>tc={A92D16F4-C971-43C9-B9BF-A8FF92CFE6B6}</author>
    <author>tc={76DBBC96-420E-4455-A44F-DB7533764E59}</author>
    <author>tc={60F55956-D69F-4407-88D2-DD22216A2807}</author>
    <author>tc={60BC7C4D-9935-4B90-99EF-A72D1207621F}</author>
    <author>tc={95947E08-D7AB-47AF-8BAE-5599529A2D23}</author>
    <author>tc={C6BBA418-557D-43F2-8E7B-D7A493856997}</author>
    <author>tc={B26E0832-1406-401C-AFF3-238BA8371DA4}</author>
    <author>tc={1AAE5AE0-079E-4AE0-8166-8C256FE92D8F}</author>
    <author>tc={221B3412-5685-42C8-86CF-B96C2B0392AF}</author>
    <author>tc={3D21A64E-DCFD-4292-B98D-C921DFCE6890}</author>
    <author>tc={D485D7CD-6D26-4B28-88EB-A050B8E4692C}</author>
    <author>tc={40FD1A67-2FEA-4AAB-B5B7-8940C6276E53}</author>
    <author>tc={CEAFD626-D347-46D4-ABEC-1578CC9BEEFB}</author>
    <author>tc={97A3D53A-6C68-4927-AAF2-A2C3C139C542}</author>
    <author>tc={E48B6D1C-DD91-4026-AF09-56924DD6783F}</author>
    <author>tc={19897D95-3DD2-43E8-8C5E-008E7DBAC6A0}</author>
    <author>tc={431098D2-2AC7-4192-ACD0-9E8B6A878124}</author>
    <author>tc={5280FCBF-4F81-4063-B281-BEDE9D5550A1}</author>
    <author>tc={B9D48696-0132-4014-BD22-DB9BA2878150}</author>
    <author>tc={A2EFF515-54A8-4AD1-AE8F-28C50095AB9C}</author>
    <author>tc={B8F73EAF-4DDA-4786-9712-73F8429562DF}</author>
    <author>tc={B32C80EC-3942-4274-91BB-E11DD9F37B57}</author>
    <author>tc={56991089-05A9-4EAB-92A8-CBC39606C786}</author>
    <author>tc={F93F8CE8-C696-49B0-AADC-B50C860F7C1E}</author>
    <author>tc={DABF661D-0E08-404A-B18A-B8944D616082}</author>
    <author>tc={CB9EAA16-B173-47D4-9D97-3712DBE776FA}</author>
    <author>tc={7825161E-E3C5-482D-B7FD-BDF87C1BBED8}</author>
    <author>tc={3D21A64E-DCFD-4293-B98D-C921DFCE6890}</author>
    <author>tc={05AE7ED0-2403-4C71-91F7-A5D92911D96D}</author>
    <author>tc={700F0500-2C9D-4057-92B8-CE813B7BAD7D}</author>
    <author>tc={E88F27B8-A8F2-41E9-897B-0FD2AC5B1F99}</author>
    <author>tc={7DE2E608-AF8A-411F-9928-182321C605DF}</author>
    <author>tc={321A8D45-0D58-4F18-B46B-C32027E78770}</author>
    <author>tc={B1DC733A-1645-4EF4-8ED6-FD546B1097D0}</author>
    <author>tc={8F0B93CF-FDC2-4457-B685-83DB8763BDFC}</author>
    <author>tc={C8B18497-DB56-454C-9FEB-2629C75249E5}</author>
    <author>tc={176855E0-0BE2-478C-AA6F-4D4EAF6A4281}</author>
    <author>tc={216CA5D5-7840-4F0E-80F8-500E39D9D316}</author>
    <author>tc={8765005F-AF75-4CF7-A337-981D3FA94DB7}</author>
    <author>tc={7E46D909-671B-4DCA-BCB6-6611EDC867DA}</author>
    <author>tc={1152F8D2-5DB1-437D-BC3E-27E1A8F04713}</author>
    <author>tc={FC003B2A-8888-4945-8443-52D9721FCBB5}</author>
    <author>tc={041D5036-B727-4259-BE6B-D9E1E7B23151}</author>
    <author>tc={78163C43-04D9-422B-8CC4-9122D45DBD33}</author>
    <author>tc={10F23D5D-08DA-414A-9500-0F6149B5CA41}</author>
    <author>tc={2E9CA047-5F88-43DB-8CD1-F6F7D28314BE}</author>
    <author>tc={6D9DC10C-EA36-434E-BEB9-4B956AF714C5}</author>
    <author>tc={CB0968B6-4955-4577-B420-7B70C678270E}</author>
    <author>tc={3EE7E96E-97EA-42EA-AB66-7A5D1729B978}</author>
    <author>tc={F80DC6BD-8F3C-4132-907C-C1A76D462D63}</author>
    <author>tc={DD309C21-FF04-4E69-960E-3B14ADF78AB1}</author>
    <author>tc={ADAE003A-3F96-45C4-8B8F-4E343A318968}</author>
    <author>tc={C33D64D4-9BF8-4B7A-9054-AEBDD5A6476B}</author>
    <author>tc={D5DF8668-1DDA-44B7-8D15-1D48D835B905}</author>
    <author>tc={3D777574-6DD4-4F54-9066-7E29C5B633C0}</author>
    <author>tc={FE464721-8AAF-406B-9E1E-888937CABEB2}</author>
    <author>tc={66FC30CF-9481-4AAE-94B4-DF9626E83FD8}</author>
    <author>tc={077857B3-FC24-4D2D-BB8F-FEFB81919984}</author>
    <author>tc={8F21D9D3-C84B-4E59-934F-9A67628BA51A}</author>
    <author>tc={03BC85B2-7D59-4393-AE3C-1B114154A168}</author>
    <author>tc={22D88134-4B94-434D-B31F-6B45AA67E5DE}</author>
    <author>tc={EFBD647E-B4C5-4E06-9D02-B03654B9398E}</author>
    <author>tc={FEA74F1C-14DB-4C17-9B42-2F917EE68A36}</author>
    <author>tc={E6189C1F-0A68-4531-8F21-605730AE4352}</author>
    <author>tc={82CF2152-B091-46AC-B474-C8BB2BAA5A09}</author>
    <author>tc={3984B084-16C9-437E-99E3-E7C7F38ECBE5}</author>
    <author>tc={BD36CA3E-5A64-45B2-98BF-0D023F4B8497}</author>
    <author>tc={D99759F1-AF45-439D-833C-28AF3290EE4A}</author>
    <author>tc={0D758A2C-9D45-43EC-A74C-9AE9CEF49C4F}</author>
    <author>tc={5177931A-D634-4E50-86DF-A71AF6B53203}</author>
    <author>tc={0141B8B8-F85B-4235-B1B0-06A1FFFD7C20}</author>
    <author>tc={5014994E-EE20-4C3F-AFFE-66A69F498C84}</author>
    <author>tc={FFDF69CF-0620-41B5-A7B6-BBB9EC2D1121}</author>
    <author>tc={D5D744AA-149A-4FC6-A276-89D408F520AD}</author>
    <author>tc={073870A9-870A-461A-AEB0-7AD59EC069A7}</author>
    <author>tc={5A7153F8-D77F-415D-A53D-7540A7EA916A}</author>
    <author>tc={9C337C21-DCEF-475D-A146-440417555938}</author>
    <author>tc={D9C80ECA-5A25-480C-A842-45228DF6FA1E}</author>
    <author>tc={4A7C492A-81CE-423C-A093-7B07277E4455}</author>
    <author>tc={F9D45CB2-163D-4EDF-BC0A-FAC31C926751}</author>
    <author>tc={2C9F03CE-97C9-4BFA-9A98-D880DD20DEBF}</author>
    <author>tc={ECBC2009-1D8C-48CD-8871-36C731C11D14}</author>
    <author>tc={FA4CA7F6-17E4-43D9-B75C-89A01358110E}</author>
    <author>tc={668DF6DC-1288-406C-9277-E9BB15F82D57}</author>
    <author>tc={306591A5-A577-4947-99C5-8D32744266A4}</author>
    <author>tc={01C9F8DF-3492-4159-9D50-68D22A91CBFF}</author>
    <author>tc={4C0073C6-88AF-49C6-84B0-510001E344DC}</author>
    <author>tc={A98D6B1D-B79A-4183-A1D1-6829C6026BB8}</author>
    <author>tc={EC46DDE5-B161-4F96-B986-D804D936C17F}</author>
    <author>tc={7C4B8D72-B1DA-4DB8-9FDA-92AEC83B63A3}</author>
    <author>tc={74919466-5E58-48A7-A4A9-D0DF2B51B65D}</author>
    <author>tc={FF80729B-1D74-4CA4-86C1-739EC49BAB05}</author>
    <author>tc={51BF56F3-0E09-42DE-84F2-E38D9FAA8B13}</author>
    <author>tc={51D78FB3-10C6-4803-B1EB-B63DA254B36E}</author>
    <author>tc={3770BC46-81EC-4339-99D0-393E0138AC5C}</author>
    <author>tc={D2C0BAA7-317B-472E-90D5-B5A891522E4A}</author>
    <author>tc={3A59F4D7-E736-4247-AC99-38733FCF2013}</author>
    <author>tc={D3C748CB-BB34-4B6B-A223-412F0B508023}</author>
    <author>tc={1B66AD76-98D8-493F-9717-DE9371768164}</author>
    <author>tc={08E17F6C-96BF-4E4B-B468-4487F731FE5A}</author>
    <author>tc={72ACC593-DEAE-47CC-B056-B1F85A3376A8}</author>
    <author>tc={AE639C35-EDD4-43D1-B60D-8C225FD41324}</author>
    <author>tc={82281A8B-8E8A-45EE-BA04-650D2F1A020B}</author>
    <author>tc={2A381499-15FA-4ACF-9580-5D3CD133D1BF}</author>
    <author>tc={83B5286D-2869-4F27-AB61-45AF32AA1ED6}</author>
    <author>tc={6299D1A8-51D2-41F7-BE4D-872DACEBDBAC}</author>
    <author>tc={1943D1C6-5B4B-4CD2-BC0B-E67F16FA022E}</author>
    <author>tc={46AA92BB-51F3-4A5F-B93A-1C7D4E395F61}</author>
    <author>tc={D98DAB98-8120-431A-8027-445F298E35E7}</author>
    <author>tc={1C969CD2-7BAF-4AEA-AD52-557882783CA4}</author>
    <author>tc={9815367F-DD31-4AD4-BF77-98FA0F82EEF1}</author>
    <author>tc={7EEBCBA4-3A69-40F9-9E1A-86C16AE0B01D}</author>
    <author>tc={3E51B962-1C1E-4733-8C7B-891DE88FC9CC}</author>
    <author>tc={4192389E-DE40-4CFA-A82D-8EAD67ECF7D7}</author>
    <author>tc={2E619722-3526-47BB-903D-087961937B11}</author>
    <author>tc={95E5FCB1-32B6-4286-AEDB-3FB1A6C24F9F}</author>
    <author>tc={8AC7CF1A-1AB0-4F61-87BF-05E4F3695C01}</author>
    <author>tc={628C19B2-0517-48F7-99D7-A504367586FC}</author>
    <author>tc={5AE91639-29A6-4216-9E69-AEEC22280237}</author>
    <author>tc={B04DA113-3719-4894-A052-7EF142A6B1F3}</author>
    <author>tc={A4031099-141F-4AB7-89D4-8270E21A4D82}</author>
    <author>tc={DA0C0219-8DFE-485C-B498-EC10CABA00F6}</author>
    <author>tc={C420745C-A3DF-4DE4-8300-A0A87ABCD5BC}</author>
    <author>tc={478FF769-3086-407F-9D74-B2A280AFD8EA}</author>
    <author>tc={6D9AC3D8-95C7-414D-B4D2-A3B25BB7DF71}</author>
    <author>tc={5FABC404-5AFD-4DA0-9EC1-CC74CE2A022A}</author>
    <author>tc={16E5EAC8-9F28-4F15-A1A5-7B99C190A664}</author>
    <author>tc={20517B6A-E660-45E9-801F-226EE86BE89E}</author>
    <author>tc={BF182CB3-7389-4096-8247-A1F4B5E0AF2C}</author>
    <author>tc={3937158A-7618-4D15-BB3E-DDC18B4A10F9}</author>
    <author>tc={F3A27804-8629-4932-8600-9586CC934569}</author>
    <author>tc={357A8FF9-1254-4A55-B0DE-88267A8B505E}</author>
    <author>tc={38395C72-97CF-40C8-93D0-8576562057F0}</author>
    <author>tc={DCFDE000-F8D3-4624-A4D4-F883B74B265A}</author>
    <author>tc={3DA28613-24E6-425D-ABFD-117A5DA25AAC}</author>
    <author>tc={43B7BC66-956C-4BEB-B278-0E8308FFAEA9}</author>
    <author>tc={219EA60C-354E-44E1-8ED7-BD4144A5EAC4}</author>
    <author>tc={26F727C3-A89F-411A-87F9-A62AF65BAC00}</author>
    <author>tc={ECAB82DF-C449-4EF4-BB27-58E6CD16C2C8}</author>
    <author>tc={E14C6FB7-0D9D-48FE-82C9-C869D3E801C7}</author>
    <author>tc={E0240E9A-758D-4068-AE77-D889A0F7B91F}</author>
    <author>tc={1727B747-3FE5-4125-B5AD-ED90ABB839BD}</author>
    <author>tc={470E88FB-8788-47CA-9CBB-E5F7BC53F7E1}</author>
    <author>tc={4D0366DF-FE14-444F-A11E-AAF7EABB736B}</author>
    <author>tc={FD2CAF34-3FF2-41EA-AD43-14CFC9FBBFB6}</author>
    <author>tc={77D660C6-0823-42D3-9E05-BDB666C78626}</author>
    <author>tc={7F0E37FB-E75C-45E2-A32D-DC593CBE615A}</author>
    <author>tc={77976EED-CEA6-4E0F-89ED-9CE14CDFF9CC}</author>
    <author>tc={4C889B68-99A8-4DD2-AA10-0DCF57DCE39C}</author>
    <author>tc={273D1BD4-A049-43B8-8B6D-9187DCFC61ED}</author>
    <author>tc={FD72D3CC-7EB4-4BE1-BD5E-3738F5B301B4}</author>
    <author>tc={74553C42-45EB-4F0E-B3E5-057F685D423A}</author>
    <author>tc={5C8D9BCB-BD8B-4E62-B94A-81EB7AF5C04C}</author>
    <author>tc={C66AC12A-E7A8-4C69-8374-FF5CA7038FD4}</author>
    <author>tc={1ED65F6B-D917-4A7A-9C2D-35A6A546CB41}</author>
    <author>tc={392B4A0B-4C36-4062-8CBA-261FCEE5961E}</author>
    <author>tc={ECE7738A-8F89-45F7-B777-2FD8408B0222}</author>
    <author>tc={5BBBEB6B-BDFB-46F9-BA43-369216C66169}</author>
    <author>tc={E4416F47-17BA-4966-9759-6EC8F3B360B0}</author>
    <author>tc={EC050DB8-54A4-441D-9596-9D67C6F8C0E7}</author>
    <author>tc={86F42E58-22B5-408D-8CE0-E785B9C0A3DD}</author>
    <author>tc={68D40352-8FB9-4B97-8949-C099A729B708}</author>
    <author>tc={D12F29F2-9337-4CAE-A434-A213C129FA08}</author>
    <author>tc={76D910FF-AA98-4153-96B8-56BABA61F191}</author>
    <author>tc={8196E2C8-3412-4759-82A0-16E74D33EFD2}</author>
    <author>tc={20B6BF1D-A749-4FFC-9AC8-5DEE108515D6}</author>
    <author>tc={07E22EFE-DF9C-4A13-A50C-2D307A381CCD}</author>
    <author>tc={C6B01F0B-F06B-473A-8836-62FEFCCD58C9}</author>
    <author>tc={F175AC51-A676-4298-AF17-E0A53FCD0AD8}</author>
    <author>tc={EC089CBB-2B16-405B-95D1-3C03714A1830}</author>
    <author>tc={CA7929CA-763C-4F20-8D4E-09057B68FF1D}</author>
    <author>tc={6A064149-0FEA-4D5B-A7EF-5B347534E9D2}</author>
    <author>tc={52FFAF13-9DEA-46DB-803B-EAC95343DBA5}</author>
    <author>tc={56F6997A-08FC-4735-8A12-A464E27BA3A7}</author>
    <author>tc={48D480A3-9594-4ABE-8EBF-8ADE8EA15E83}</author>
    <author>tc={B6721CE8-FE59-4C3F-810E-1182FFC3A074}</author>
    <author>tc={AB918EA6-5911-44EB-8F6B-C38DD7C88CF9}</author>
    <author>tc={86DC7FCB-62CF-4869-A9E0-4DD07417E816}</author>
    <author>tc={5CA0D6E4-29E0-4753-BD09-CF97505CC39B}</author>
    <author>tc={0A387364-C0FF-4912-B54D-1B3432DE7C8B}</author>
    <author>tc={F4C9FCB4-AE61-4D26-A8B2-1CE62C15F16B}</author>
    <author>tc={83D10367-5152-412E-AEF9-A83A171A651A}</author>
    <author>tc={DE56893D-E8B3-4CE5-9967-D6BAAFB7C4F5}</author>
    <author>tc={1BA16C64-D5E2-403B-A2F3-6CC56A0EA73F}</author>
    <author>tc={CD3FF768-AF8C-4F0B-9C50-16C5182BE02E}</author>
    <author>tc={F88D39B3-4A32-4143-8566-0303ED7BC042}</author>
    <author>tc={B71CD4FC-AC41-4131-B98E-77682120AD00}</author>
    <author>tc={B83F4F56-0D6A-4866-9A07-B6AA8877F707}</author>
    <author>tc={DF862D74-F117-4CCA-A9B7-D6FEDE6F4AB7}</author>
    <author>tc={CAA10AB6-37EC-41AE-87F9-86CECA842A40}</author>
    <author>tc={C4B71100-AFC6-4FD8-94B2-09B33843EC76}</author>
    <author>tc={A0F34E5A-0569-4737-8B50-6B932D4DAC9B}</author>
    <author>tc={1595F143-D002-4696-B004-5E8AB3CA1C5B}</author>
    <author>tc={9017DE84-FD55-406A-B6AE-BD17A2A1622C}</author>
    <author>tc={9CB44C36-214D-44A3-A98C-1BD2B95D1891}</author>
    <author>tc={320C18AC-3D28-4DC2-B04D-B7F6D8A79B9A}</author>
    <author>tc={01F90D05-4721-4DE9-9412-2DD2B120F327}</author>
    <author>tc={F27FAB66-44E5-41F9-AFAE-6CC96FD85E51}</author>
    <author>tc={69595BFF-7383-4372-850E-27920FEF6D94}</author>
    <author>tc={360D8BAA-C221-4760-8291-F6945AE733FB}</author>
    <author>tc={916FDC83-1642-4050-A8FF-A62E2AB7415B}</author>
    <author>tc={675AB0B1-761C-42DB-84E2-9243339A65FD}</author>
    <author>tc={B8653D9C-15E9-4912-8162-FA8193BC4C45}</author>
    <author>tc={AF9CFEEE-1549-44F7-A5DF-1056B77EEA63}</author>
    <author>tc={730FD49D-62DC-4A64-BF29-6110F395BEA1}</author>
    <author>tc={A9323B5E-0F38-44CD-8880-CFF0182B3D37}</author>
    <author>tc={E01781CA-CFF2-4D5C-8619-5AA59BBF4048}</author>
    <author>tc={1FB90821-6438-475D-92B3-CF324F1A8035}</author>
    <author>tc={8FCD66D5-2BBC-4579-A970-5F732FCE70E3}</author>
    <author>tc={E6844650-D44F-4E10-B622-83DFDA0E2DCD}</author>
    <author>tc={70B94C9B-5C00-481A-890B-9409F4422987}</author>
    <author>tc={87FED25A-2956-4CDE-82E6-B2F017F4ED95}</author>
    <author>tc={E78C2D13-EA87-4D24-AC6C-79F6EBD7DBB0}</author>
    <author>tc={08215EC9-C9A9-47D3-9B89-0CD86C1806BF}</author>
    <author>tc={8F156ABC-3418-4D8F-B749-56800495A183}</author>
    <author>tc={6E051928-49B9-4249-ABC3-38D3796A3326}</author>
    <author>tc={6BC99757-60DE-4E17-BA7C-5FEAA78C24F0}</author>
    <author>tc={84C212BC-A982-4810-9817-37514F24538A}</author>
    <author>tc={CCDC29DE-1DFD-462C-BCA8-7B12C9923ACD}</author>
    <author>tc={015EE16B-E8DC-4630-9C72-02CCB9EE1C43}</author>
    <author>tc={65ABAC5A-DC20-42DF-9F6F-0C42FE1046D0}</author>
    <author>tc={483CA14A-2370-4BF0-8A05-BCF8F203327C}</author>
    <author>tc={2D1344B0-2992-4636-9DF6-D4C3AC709A4E}</author>
    <author>tc={7135C0EF-05E5-4737-B344-F88FCFBAE149}</author>
    <author>tc={7743512B-8D07-4F43-89FC-CB47FF2BA37B}</author>
    <author>tc={B144B66D-F1D8-492D-861D-D06530FDBFB0}</author>
    <author>tc={DC23DD26-7B5F-453C-A61A-675015421E7B}</author>
    <author>tc={898173AA-3733-48A1-A211-4420695A22EE}</author>
    <author>tc={9C0C08E0-185E-4776-9486-8A3799263FCE}</author>
    <author>tc={EFC7F8DB-0E37-47E9-8D1C-A36CE4FF3FC5}</author>
    <author>tc={9C27FC6C-4818-493D-A75D-55DA8B31666F}</author>
    <author>tc={426B003E-969E-4E80-86B2-974817607249}</author>
    <author>tc={BF9D100B-6C3F-4AF7-B3C2-8D545E0CB484}</author>
    <author>tc={EF5662F6-56D8-4FB0-8DC3-9A7EB67834D3}</author>
    <author>tc={C671EB97-D7EB-47D1-8AD9-B413E631951D}</author>
    <author>tc={4759A2D6-3CF6-416B-BD95-70BA026F0A53}</author>
    <author>tc={77C22F60-48E9-4DAA-9197-4B56BC111EF5}</author>
    <author>tc={B5E9CC79-5118-4965-B2CB-976AF047A581}</author>
    <author>tc={34257601-1E8A-4AB9-9533-3DE07C4BFD54}</author>
    <author>tc={37BA7A4F-D8B8-4CC4-96D3-CAC8B988D1BD}</author>
    <author>tc={9566CBE8-0F33-4E27-A6A3-8F59AB0ED7BF}</author>
    <author>tc={3468945B-37E6-4507-922B-945C7E90BBF6}</author>
    <author>tc={D2E969FE-448B-4C6F-830F-A72ACA17F1F2}</author>
    <author>tc={785B12B3-8927-4FA8-8592-C7ABCBEADDC6}</author>
    <author>tc={121EBC08-4361-4653-BA4D-04BBBB5648BD}</author>
    <author>tc={8EAB8AD1-14B2-4995-A0E5-4BF551D6DD37}</author>
    <author>tc={0E469FE4-E92E-49FC-9FF6-FF36EE1F2DD0}</author>
    <author>tc={9E4A0177-3C50-42F7-BC9E-009EAEFF8754}</author>
    <author>tc={A623D9B1-0F7D-490F-9517-176A8C866C93}</author>
    <author>tc={FD3879D7-541A-4034-B071-EE08B712D6CA}</author>
    <author>tc={8B7DCB58-CEC0-445E-9D00-10DF2FD9ACB6}</author>
    <author>tc={2AD4BFAB-05C8-4DEF-9EF4-EE21397A43F3}</author>
    <author>tc={80C88EFB-EE69-4EB4-AFC3-2CC3C8D26F62}</author>
    <author>tc={20C91C78-48EE-475B-B116-5241E45E951E}</author>
    <author>tc={58CB8FC5-E71F-4CD4-85E8-668FC3B60AEC}</author>
  </authors>
  <commentList>
    <comment ref="AD1" authorId="0" shapeId="0" xr:uid="{12A00833-8ED1-4A06-AFFE-D4760F2BCD27}">
      <text>
        <r>
          <rPr>
            <b/>
            <sz val="9"/>
            <color indexed="81"/>
            <rFont val="Tahoma"/>
            <family val="2"/>
          </rPr>
          <t>Jamie Smyth:</t>
        </r>
        <r>
          <rPr>
            <sz val="9"/>
            <color indexed="81"/>
            <rFont val="Tahoma"/>
            <family val="2"/>
          </rPr>
          <t xml:space="preserve">
Can't access Value Based Commissioning Policy </t>
        </r>
      </text>
    </comment>
    <comment ref="J2" authorId="0" shapeId="0" xr:uid="{9CDAF06A-DA4E-4606-BCBC-1B2BF8EA0F03}">
      <text>
        <r>
          <rPr>
            <b/>
            <sz val="9"/>
            <color indexed="81"/>
            <rFont val="Tahoma"/>
            <family val="2"/>
          </rPr>
          <t>Jamie Smyth:</t>
        </r>
        <r>
          <rPr>
            <sz val="9"/>
            <color indexed="81"/>
            <rFont val="Tahoma"/>
            <family val="2"/>
          </rPr>
          <t xml:space="preserve">
Achilles Tendinopathy Policy</t>
        </r>
      </text>
    </comment>
    <comment ref="K2" authorId="1" shapeId="0" xr:uid="{63FF3981-6183-432F-A053-5D9B58301D2D}">
      <text>
        <t xml:space="preserve">[Threaded comment]
Your version of Excel allows you to read this threaded comment; however, any edits to it will get removed if the file is opened in a newer version of Excel. Learn more: https://go.microsoft.com/fwlink/?linkid=870924
Comment:
    Part of extracorporeal shockwave therapy </t>
      </text>
    </comment>
    <comment ref="P2" authorId="0" shapeId="0" xr:uid="{697BE574-B0EE-40C1-BBCE-E80597C450A8}">
      <text>
        <r>
          <rPr>
            <b/>
            <sz val="9"/>
            <color indexed="81"/>
            <rFont val="Tahoma"/>
            <family val="2"/>
          </rPr>
          <t>Jamie Smyth:</t>
        </r>
        <r>
          <rPr>
            <sz val="9"/>
            <color indexed="81"/>
            <rFont val="Tahoma"/>
            <family val="2"/>
          </rPr>
          <t xml:space="preserve">
Corticosteroid injections for patella, elbow and achilles tendinopathy</t>
        </r>
      </text>
    </comment>
    <comment ref="V2" authorId="2" shapeId="0" xr:uid="{DF90B4AB-CC9D-4032-AB4F-73AC9317E1A5}">
      <text>
        <t xml:space="preserve">[Threaded comment]
Your version of Excel allows you to read this threaded comment; however, any edits to it will get removed if the file is opened in a newer version of Excel. Learn more: https://go.microsoft.com/fwlink/?linkid=870924
Comment:
    Cannot find </t>
      </text>
    </comment>
    <comment ref="AI2" authorId="3" shapeId="0" xr:uid="{DC4D0831-7AA9-40CF-9821-F566769D1543}">
      <text>
        <t>[Threaded comment]
Your version of Excel allows you to read this threaded comment; however, any edits to it will get removed if the file is opened in a newer version of Excel. Learn more: https://go.microsoft.com/fwlink/?linkid=870924
Comment:
    IFR - Extracorporeal shockwave therapy is not funded routinely for the treatment of: • Tennis Elbow • Plantar Fasciitis • Achilles Tendinopathy • Greater Trochanteric Pain Syndrome • Peyronie’s Disease https://www.shropshiretelfordandwrekin.nhs.uk/wp-content/uploads/20240314-VBC-Policy-v5-Final.pdf</t>
      </text>
    </comment>
    <comment ref="AM2" authorId="4" shapeId="0" xr:uid="{B79A583D-C52F-4B26-9B71-3563EEAC2B76}">
      <text>
        <t>[Threaded comment]
Your version of Excel allows you to read this threaded comment; however, any edits to it will get removed if the file is opened in a newer version of Excel. Learn more: https://go.microsoft.com/fwlink/?linkid=870924
Comment:
    “Common Foot and Ankle Procedures ”
Reply:
    https://staffsstoke.icb.nhs.uk/your-nhs-integrated-care-board/our-publications/governance-handbook/all-policies/commissioning/icb-excluded-and-restricted-procedures-policy-v3-1/?layout=file</t>
      </text>
    </comment>
    <comment ref="C3" authorId="5" shapeId="0" xr:uid="{CC8E6820-680A-4EB9-B2EB-BE7616AC685A}">
      <text>
        <r>
          <rPr>
            <b/>
            <sz val="9"/>
            <color indexed="81"/>
            <rFont val="Tahoma"/>
            <family val="2"/>
          </rPr>
          <t>Ogier, Anna S:</t>
        </r>
        <r>
          <rPr>
            <sz val="9"/>
            <color indexed="81"/>
            <rFont val="Tahoma"/>
            <family val="2"/>
          </rPr>
          <t xml:space="preserve">
</t>
        </r>
      </text>
    </comment>
    <comment ref="D3" authorId="6" shapeId="0" xr:uid="{B052753F-88BC-4AAE-8DEC-2D40C7D3BF57}">
      <text>
        <t>[Threaded comment]
Your version of Excel allows you to read this threaded comment; however, any edits to it will get removed if the file is opened in a newer version of Excel. Learn more: https://go.microsoft.com/fwlink/?linkid=870924
Comment:
    https://bedfordshirelutonandmiltonkeynes.icb.nhs.uk/~documents/policies/evidence-based-clinical-policies/grommets-and-adenoidectomy-in-children For children criteria based access for treatment of glue ear</t>
      </text>
    </comment>
    <comment ref="L3" authorId="7" shapeId="0" xr:uid="{C936EDB6-DDB6-41D9-9EEB-5FC57F6B02F1}">
      <text>
        <t>[Threaded comment]
Your version of Excel allows you to read this threaded comment; however, any edits to it will get removed if the file is opened in a newer version of Excel. Learn more: https://go.microsoft.com/fwlink/?linkid=870924
Comment:
    Tick https://www.happyhealthylives.uk/clientfiles/files/document_library/CWICB%20Policy%20for%20Removal%20of%20adenoids%20for%20treatment%20of%20glue%20ear%20FV.pdf</t>
      </text>
    </comment>
    <comment ref="N3" authorId="8" shapeId="0" xr:uid="{1A8007DB-D2C6-4633-A715-DBE094EA28C3}">
      <text>
        <t>[Threaded comment]
Your version of Excel allows you to read this threaded comment; however, any edits to it will get removed if the file is opened in a newer version of Excel. Learn more: https://go.microsoft.com/fwlink/?linkid=870924
Comment:
    Criteria based https://onedevon.org.uk/download/myringotomy-for-otitis-media-in-children/?wpdmdl=2021&amp;refresh=6852c3596537e1750254425</t>
      </text>
    </comment>
    <comment ref="S3" authorId="9" shapeId="0" xr:uid="{917818A2-CD95-438E-B48A-16846C13D3A7}">
      <text>
        <t>[Threaded comment]
Your version of Excel allows you to read this threaded comment; however, any edits to it will get removed if the file is opened in a newer version of Excel. Learn more: https://go.microsoft.com/fwlink/?linkid=870924
Comment:
    IFR as well https://fundingrequests.scwcsu.nhs.uk/wp-content/uploads/2020/09/008-Adenoidectomy-revised-March-2020.pdf
Reply:
    https://fundingrequests.scwcsu.nhs.uk/hampshire-and-isle-of-wight-icb/policies-and-application-forms-hampshire-and-isle-of-wight/</t>
      </text>
    </comment>
    <comment ref="V3" authorId="10" shapeId="0" xr:uid="{0F9C1E62-902E-4D32-97DD-DBBA5EA2B73E}">
      <text>
        <t>[Threaded comment]
Your version of Excel allows you to read this threaded comment; however, any edits to it will get removed if the file is opened in a newer version of Excel. Learn more: https://go.microsoft.com/fwlink/?linkid=870924
Comment:
    Policy under review https://humberandnorthyorkshire.icb.nhs.uk/documents-and-publications/commissioning-policies-2/</t>
      </text>
    </comment>
    <comment ref="AB3" authorId="11" shapeId="0" xr:uid="{716D4E3D-F052-452F-A62F-CA7AA6E7FEB4}">
      <text>
        <t>[Threaded comment]
Your version of Excel allows you to read this threaded comment; however, any edits to it will get removed if the file is opened in a newer version of Excel. Learn more: https://go.microsoft.com/fwlink/?linkid=870924
Comment:
    Tick https://nwknowledgenow.nhs.uk/content/grommets-for-adults-children/</t>
      </text>
    </comment>
    <comment ref="B5" authorId="5" shapeId="0" xr:uid="{BFF38BA1-38BA-43DC-AAD5-CCC6871FB0C0}">
      <text>
        <r>
          <rPr>
            <b/>
            <sz val="9"/>
            <color indexed="81"/>
            <rFont val="Tahoma"/>
            <family val="2"/>
          </rPr>
          <t>Colonic irrigation is under complementary therapies</t>
        </r>
      </text>
    </comment>
    <comment ref="T5" authorId="12" shapeId="0" xr:uid="{A5DD5A92-6B5E-4926-86BB-8955E2D9A437}">
      <text>
        <t>[Threaded comment]
Your version of Excel allows you to read this threaded comment; however, any edits to it will get removed if the file is opened in a newer version of Excel. Learn more: https://go.microsoft.com/fwlink/?linkid=870924
Comment:
    Unable to find ref</t>
      </text>
    </comment>
    <comment ref="B6" authorId="5" shapeId="0" xr:uid="{280B7C0E-3CFC-4C36-A55D-B99E2FBEAA71}">
      <text>
        <r>
          <rPr>
            <b/>
            <sz val="9"/>
            <color indexed="81"/>
            <rFont val="Tahoma"/>
            <family val="2"/>
          </rPr>
          <t>Ogier, Anna S:</t>
        </r>
        <r>
          <rPr>
            <sz val="9"/>
            <color indexed="81"/>
            <rFont val="Tahoma"/>
            <family val="2"/>
          </rPr>
          <t xml:space="preserve">
"The SWL ICB will not routinely fund this procedure for the removal of anal skin tags"
- Does link to Minor Skin Lesions policy which gives criteria for removal</t>
        </r>
      </text>
    </comment>
    <comment ref="F6" authorId="0" shapeId="0" xr:uid="{64886CEF-148E-4432-B9A7-36F9EA081D1A}">
      <text>
        <r>
          <rPr>
            <b/>
            <sz val="9"/>
            <color indexed="81"/>
            <rFont val="Tahoma"/>
            <family val="2"/>
          </rPr>
          <t>Jamie Smyth:</t>
        </r>
        <r>
          <rPr>
            <sz val="9"/>
            <color indexed="81"/>
            <rFont val="Tahoma"/>
            <family val="2"/>
          </rPr>
          <t xml:space="preserve">
Trigger finger policy.
Removal of anal skin tags not routinely commissined unless Crohn;s disease patient https://blackcountryics.org.uk/application/files/6117/0688/4906/BCICB_POLICY_Anal_skin_tag_removal.pdf</t>
        </r>
      </text>
    </comment>
    <comment ref="H6" authorId="13" shapeId="0" xr:uid="{023A5079-3100-4692-A24C-D1195FF48F3E}">
      <text>
        <t>[Threaded comment]
Your version of Excel allows you to read this threaded comment; however, any edits to it will get removed if the file is opened in a newer version of Excel. Learn more: https://go.microsoft.com/fwlink/?linkid=870924
Comment:
    Criteria based https://www.bucksoxonberksw.icb.nhs.uk/media/3371/pct-204b-surgical-removal-of-anal-skin-tags.pdf</t>
      </text>
    </comment>
    <comment ref="K6" authorId="14" shapeId="0" xr:uid="{53A5B20B-CCF8-48FA-8526-9792CB20152F}">
      <text>
        <t>[Threaded comment]
Your version of Excel allows you to read this threaded comment; however, any edits to it will get removed if the file is opened in a newer version of Excel. Learn more: https://go.microsoft.com/fwlink/?linkid=870924
Comment:
    Note, the removal of anal skin tags is not routinely commissioned by NHS Cornwall and Isles of Scilly Integrated Care Board. https://docs.cios.icb.nhs.uk/DocumentsLibrary/NHSCornwallAndIslesOfScilly/Services/IndividualFundingRequests/CommissioningPolicies.pdf</t>
      </text>
    </comment>
    <comment ref="R6" authorId="15" shapeId="0" xr:uid="{527BBC17-C35A-4DD0-A335-AF08DCBDE03F}">
      <text>
        <t>[Threaded comment]
Your version of Excel allows you to read this threaded comment; however, any edits to it will get removed if the file is opened in a newer version of Excel. Learn more: https://go.microsoft.com/fwlink/?linkid=870924
Comment:
    IFR https://nhsgmgmicbsa.blob.core.windows.net/nhsgmgmicbblobstorage/GMEUR/Commissioning%20Statements/GM%20Haemorrhoids%20Commissioning%20Statement.pdf</t>
      </text>
    </comment>
    <comment ref="T6" authorId="16" shapeId="0" xr:uid="{842CF12A-3F1E-4AB8-AD3D-608A9949DCAF}">
      <text>
        <t>[Threaded comment]
Your version of Excel allows you to read this threaded comment; however, any edits to it will get removed if the file is opened in a newer version of Excel. Learn more: https://go.microsoft.com/fwlink/?linkid=870924
Comment:
    Tick https://www.hwics.org.uk/application/files/9617/0186/0193/ICB_Aesthetic_Treatment__Surgery_v1.4_Final.pdf</t>
      </text>
    </comment>
    <comment ref="U6" authorId="17" shapeId="0" xr:uid="{C2D6F138-E5D2-429B-98F7-0BB0EDC6CCB8}">
      <text>
        <t>[Threaded comment]
Your version of Excel allows you to read this threaded comment; however, any edits to it will get removed if the file is opened in a newer version of Excel. Learn more: https://go.microsoft.com/fwlink/?linkid=870924
Comment:
    Tick https://www.hweclinicalguidance.nhs.uk/all-clinical-areas-documents/search-results/surgical-removal-of-benign-skin-lesions/</t>
      </text>
    </comment>
    <comment ref="V6" authorId="18" shapeId="0" xr:uid="{EC89219D-939F-4100-8F05-C5007496F7A3}">
      <text>
        <t>[Threaded comment]
Your version of Excel allows you to read this threaded comment; however, any edits to it will get removed if the file is opened in a newer version of Excel. Learn more: https://go.microsoft.com/fwlink/?linkid=870924
Comment:
    Covered by benign skin lesions - tick https://humberandnorthyorkshire.icb.nhs.uk/wp-content/uploads/2025/04/135-Benign-skin-lesion-%E2%80%93-Surgical-removal-including-Excision_-Cryotherapy.docx</t>
      </text>
    </comment>
    <comment ref="W6" authorId="19" shapeId="0" xr:uid="{AE1935F8-4C40-4DD5-8547-DBE2B8ED2875}">
      <text>
        <t>[Threaded comment]
Your version of Excel allows you to read this threaded comment; however, any edits to it will get removed if the file is opened in a newer version of Excel. Learn more: https://go.microsoft.com/fwlink/?linkid=870924
Comment:
    Tick “Benign skin lesions (removal of) ” https://www.kentandmedway.icb.nhs.uk/application/files/9817/1292/6708/KM_RaTC_April_2024.pdf</t>
      </text>
    </comment>
    <comment ref="X6" authorId="20" shapeId="0" xr:uid="{B8A76D52-3BB0-4F9E-8633-D3EC1D09056C}">
      <text>
        <t>[Threaded comment]
Your version of Excel allows you to read this threaded comment; however, any edits to it will get removed if the file is opened in a newer version of Excel. Learn more: https://go.microsoft.com/fwlink/?linkid=870924
Comment:
    Tick - https://www.healthierlsc.co.uk/application/files/3816/7576/5523/LSCICB_Clin15_Policy_for_Removal_of_Benign_Skin_Lesions_v1.1.pdf</t>
      </text>
    </comment>
    <comment ref="Z6" authorId="21" shapeId="0" xr:uid="{DB757A31-808C-4139-958C-494CB3DE056C}">
      <text>
        <t>[Threaded comment]
Your version of Excel allows you to read this threaded comment; however, any edits to it will get removed if the file is opened in a newer version of Excel. Learn more: https://go.microsoft.com/fwlink/?linkid=870924
Comment:
    Falls under benign skin lesions EBI https://lincolnshire.icb.nhs.uk/~documents/icb-publications/our-policies-and-procedures/clinical-governance/cg-003-prior-approval-policy/?layout=file</t>
      </text>
    </comment>
    <comment ref="AA6" authorId="22" shapeId="0" xr:uid="{C75F8CAB-18FA-4E5C-B85B-A07A466C16B0}">
      <text>
        <t>[Threaded comment]
Your version of Excel allows you to read this threaded comment; however, any edits to it will get removed if the file is opened in a newer version of Excel. Learn more: https://go.microsoft.com/fwlink/?linkid=870924
Comment:
    Tick - covered in this policy https://www.midandsouthessex.ics.nhs.uk/publications/018-benign-skin-conditions/</t>
      </text>
    </comment>
    <comment ref="AB6" authorId="23" shapeId="0" xr:uid="{AD6F6864-95B1-4713-BFA5-B78E680CAB26}">
      <text>
        <t>[Threaded comment]
Your version of Excel allows you to read this threaded comment; however, any edits to it will get removed if the file is opened in a newer version of Excel. Learn more: https://go.microsoft.com/fwlink/?linkid=870924
Comment:
    Tick - covered here https://nwknowledgenow.nhs.uk/content/benign-skin-lesions-and-mild-inflammatory-skin-disorders-in-adults/</t>
      </text>
    </comment>
    <comment ref="AC6" authorId="24" shapeId="0" xr:uid="{87755C01-3F3F-4CA0-B100-44BA6E545648}">
      <text>
        <t>[Threaded comment]
Your version of Excel allows you to read this threaded comment; however, any edits to it will get removed if the file is opened in a newer version of Excel. Learn more: https://go.microsoft.com/fwlink/?linkid=870924
Comment:
    Under benign skin lesions https://nclhealthandcare.org.uk/wp-content/uploads/2024/02/NCL-EBICS-Policy-v9.2-2.pdf - tick</t>
      </text>
    </comment>
    <comment ref="AD6" authorId="25" shapeId="0" xr:uid="{00260361-0A95-4E80-A6FC-8D05387D8D75}">
      <text>
        <t>[Threaded comment]
Your version of Excel allows you to read this threaded comment; however, any edits to it will get removed if the file is opened in a newer version of Excel. Learn more: https://go.microsoft.com/fwlink/?linkid=870924
Comment:
    Tick - removal of benign skin lesions https://northeastnorthcumbria.nhs.uk/media/dimlerzs/value-based-clinical-commissioning-policy.pdf</t>
      </text>
    </comment>
    <comment ref="AE6" authorId="26" shapeId="0" xr:uid="{20B577D9-B30F-4597-8154-793D5193EA64}">
      <text>
        <t xml:space="preserve">[Threaded comment]
Your version of Excel allows you to read this threaded comment; however, any edits to it will get removed if the file is opened in a newer version of Excel. Learn more: https://go.microsoft.com/fwlink/?linkid=870924
Comment:
    https://primarycare.northeastlondon.icb.nhs.uk/wp-content/uploads/2024/05/NEL-EBI-Policy-Version-2.2-Final.pdf Excision of skin and subcutaneous lesions  - tick </t>
      </text>
    </comment>
    <comment ref="AF6" authorId="27" shapeId="0" xr:uid="{93965433-6522-4EA0-BE39-729164BEC089}">
      <text>
        <t>[Threaded comment]
Your version of Excel allows you to read this threaded comment; however, any edits to it will get removed if the file is opened in a newer version of Excel. Learn more: https://go.microsoft.com/fwlink/?linkid=870924
Comment:
    Tick https://www.nwlondonicb.nhs.uk/application/files/2916/7664/3303/Benign-Lesions-Lumps-v7.pdf</t>
      </text>
    </comment>
    <comment ref="AG6" authorId="28" shapeId="0" xr:uid="{0A544111-E5BA-4519-BDF1-0FA4FA3813E0}">
      <text>
        <t>[Threaded comment]
Your version of Excel allows you to read this threaded comment; however, any edits to it will get removed if the file is opened in a newer version of Excel. Learn more: https://go.microsoft.com/fwlink/?linkid=870924
Comment:
    IFR https://www.icnorthamptonshire.org.uk/download.cfm?doc=docm93jijm4n19754&amp;ver=65811</t>
      </text>
    </comment>
    <comment ref="AH6" authorId="29" shapeId="0" xr:uid="{F0459A33-9CA0-4012-83C2-6D012E80772D}">
      <text>
        <t>[Threaded comment]
Your version of Excel allows you to read this threaded comment; however, any edits to it will get removed if the file is opened in a newer version of Excel. Learn more: https://go.microsoft.com/fwlink/?linkid=870924
Comment:
    Tick https://notts.icb.nhs.uk/wp-content/uploads/sites/2/2022/04/Value-Based-Commissioning-PolicyV1.4-2.pdf benign lesions</t>
      </text>
    </comment>
    <comment ref="AK6" authorId="30" shapeId="0" xr:uid="{6ACA9D3C-B629-4BBE-BC0D-1111FB4DA0CD}">
      <text>
        <t>[Threaded comment]
Your version of Excel allows you to read this threaded comment; however, any edits to it will get removed if the file is opened in a newer version of Excel. Learn more: https://go.microsoft.com/fwlink/?linkid=870924
Comment:
    Tick “The benign skin lesions, which are listed above, must meet at least ONE of the following criteria to be removed: ” https://www.selondonics.org/wp-content/uploads/dlm_uploads/SEL-Treatment-Access-Policy-July-2024-v1.pdf</t>
      </text>
    </comment>
    <comment ref="AM6" authorId="31" shapeId="0" xr:uid="{2554C0C4-E82A-44BB-AB49-AD4F6928CECB}">
      <text>
        <t>[Threaded comment]
Your version of Excel allows you to read this threaded comment; however, any edits to it will get removed if the file is opened in a newer version of Excel. Learn more: https://go.microsoft.com/fwlink/?linkid=870924
Comment:
    Treatment of Minor Skin Lesions including benign pigmented moles, comedones, corns/callous. lipoma, milia, molluscum contagiosum, seborrhoeic keratosis, skin tags including anal tags, spider naevus, warts, xanthelasma and neurofibromata, epidermoid/Pilar (sebaceous) cysts  https://staffsstoke.icb.nhs.uk/your-nhs-integrated-care-board/our-publications/governance-handbook/all-policies/commissioning/icb-excluded-and-restricted-procedures-policy-v3-1/?layout=file</t>
      </text>
    </comment>
    <comment ref="AQ6" authorId="32" shapeId="0" xr:uid="{83DF8F3F-ADBE-4FC1-8A06-91D1F3229D5C}">
      <text>
        <t xml:space="preserve">[Threaded comment]
Your version of Excel allows you to read this threaded comment; however, any edits to it will get removed if the file is opened in a newer version of Excel. Learn more: https://go.microsoft.com/fwlink/?linkid=870924
Comment:
    Tick - Part of benign skin lesions https://ebi.aomrc.org.uk/interventions/removal-of-benign-skin-lesions/ “Skin lesions (benign) removal (11.2024) - This is an updated Evidence Based Interventions policy. For details please see the Evidence Based Interventions guidance on Removal of benign skin lesions  ” </t>
      </text>
    </comment>
    <comment ref="K7" authorId="33" shapeId="0" xr:uid="{9BFDF52B-AE77-42BD-98DE-8B77EE20B1A9}">
      <text>
        <t>[Threaded comment]
Your version of Excel allows you to read this threaded comment; however, any edits to it will get removed if the file is opened in a newer version of Excel. Learn more: https://go.microsoft.com/fwlink/?linkid=870924
Comment:
    Note, the removal of anal skin tags is not routinely commissioned by NHS Cornwall and Isles of Scilly Integrated Care Board. https://docs.cios.icb.nhs.uk/DocumentsLibrary/NHSCornwallAndIslesOfScilly/Services/IndividualFundingRequests/CommissioningPolicies.pdf</t>
      </text>
    </comment>
    <comment ref="AM7" authorId="34" shapeId="0" xr:uid="{4677B710-2040-4C00-8A15-7B4E1A176F47}">
      <text>
        <t>[Threaded comment]
Your version of Excel allows you to read this threaded comment; however, any edits to it will get removed if the file is opened in a newer version of Excel. Learn more: https://go.microsoft.com/fwlink/?linkid=870924
Comment:
    Tick - https://staffsstoke.icb.nhs.uk/your-nhs-integrated-care-board/our-publications/governance-handbook/all-policies/commissioning/icb-excluded-and-restricted-procedures-policy-v3-1/?layout=file</t>
      </text>
    </comment>
    <comment ref="T8" authorId="35" shapeId="0" xr:uid="{AB45DB3A-A78B-48A7-BFD9-3B0C4F27ADF2}">
      <text>
        <t>[Threaded comment]
Your version of Excel allows you to read this threaded comment; however, any edits to it will get removed if the file is opened in a newer version of Excel. Learn more: https://go.microsoft.com/fwlink/?linkid=870924
Comment:
    Unable to find ref to residential? https://www.hwics.org.uk/application/files/8417/0021/5008/HW_ICS_AS.AxSp_Pathway_07112023_v2.pdf</t>
      </text>
    </comment>
    <comment ref="F9" authorId="36" shapeId="0" xr:uid="{A0463316-B4E6-4E67-9150-5595A7716EC1}">
      <text>
        <t>[Threaded comment]
Your version of Excel allows you to read this threaded comment; however, any edits to it will get removed if the file is opened in a newer version of Excel. Learn more: https://go.microsoft.com/fwlink/?linkid=870924
Comment:
    EBI based policy: Appendicectomy without confirmation of appendicitis
Surgery to remove the appendix.
https://blackcountry.icb.nhs.uk/have-your-say/get-involved/current-consultations-and-engagement/clinical-policy-review2</t>
      </text>
    </comment>
    <comment ref="K9" authorId="37" shapeId="0" xr:uid="{D55ED655-113B-4C2D-9A32-5D81C6EF6676}">
      <text>
        <t>[Threaded comment]
Your version of Excel allows you to read this threaded comment; however, any edits to it will get removed if the file is opened in a newer version of Excel. Learn more: https://go.microsoft.com/fwlink/?linkid=870924
Comment:
    Note, the removal of anal skin tags is not routinely commissioned by NHS Cornwall and Isles of Scilly Integrated Care Board. https://docs.cios.icb.nhs.uk/DocumentsLibrary/NHSCornwallAndIslesOfScilly/Services/IndividualFundingRequests/CommissioningPolicies.pdf</t>
      </text>
    </comment>
    <comment ref="T9" authorId="38" shapeId="0" xr:uid="{E8EFF839-C4B8-4AC9-B0AF-E668573D3970}">
      <text>
        <t>[Threaded comment]
Your version of Excel allows you to read this threaded comment; however, any edits to it will get removed if the file is opened in a newer version of Excel. Learn more: https://go.microsoft.com/fwlink/?linkid=870924
Comment:
    Tick https://www.hwics.org.uk/application/files/4117/2250/0226/ICB_Clinical_Commissioning_Position_Statement_-_Appendicectomy_v1.0_FINAL.pdf</t>
      </text>
    </comment>
    <comment ref="K10" authorId="39" shapeId="0" xr:uid="{80F0AC6C-6B98-4497-8A2C-51C30A54F623}">
      <text>
        <t>[Threaded comment]
Your version of Excel allows you to read this threaded comment; however, any edits to it will get removed if the file is opened in a newer version of Excel. Learn more: https://go.microsoft.com/fwlink/?linkid=870924
Comment:
    Note, the removal of anal skin tags is not routinely commissioned by NHS Cornwall and Isles of Scilly Integrated Care Board. https://docs.cios.icb.nhs.uk/DocumentsLibrary/NHSCornwallAndIslesOfScilly/Services/IndividualFundingRequests/CommissioningPolicies.pdf</t>
      </text>
    </comment>
    <comment ref="T10" authorId="40" shapeId="0" xr:uid="{77858E27-6D12-4833-90BD-8AEBD07368BD}">
      <text>
        <t>[Threaded comment]
Your version of Excel allows you to read this threaded comment; however, any edits to it will get removed if the file is opened in a newer version of Excel. Learn more: https://go.microsoft.com/fwlink/?linkid=870924
Comment:
    IFR https://www.hwics.org.uk/application/files/8917/1949/3723/ICB_Benign_Prostatic_Hyperplasia_v1.3.pdf</t>
      </text>
    </comment>
    <comment ref="F11" authorId="0" shapeId="0" xr:uid="{CABEFC31-A9D7-4D74-BCCB-6E3A2CC250D4}">
      <text>
        <r>
          <rPr>
            <b/>
            <sz val="9"/>
            <color indexed="81"/>
            <rFont val="Tahoma"/>
            <family val="2"/>
          </rPr>
          <t>Jamie Smyth:</t>
        </r>
        <r>
          <rPr>
            <sz val="9"/>
            <color indexed="81"/>
            <rFont val="Tahoma"/>
            <family val="2"/>
          </rPr>
          <t xml:space="preserve">
Under ASD policy - AO - unable to find??
JS - I can't find it now either, but it was previously available</t>
        </r>
      </text>
    </comment>
    <comment ref="G11" authorId="0" shapeId="0" xr:uid="{DAB52A66-5EB7-4E23-AD6F-7F7EBBB44740}">
      <text>
        <r>
          <rPr>
            <b/>
            <sz val="9"/>
            <color indexed="81"/>
            <rFont val="Tahoma"/>
            <family val="2"/>
          </rPr>
          <t>Jamie Smyth:</t>
        </r>
        <r>
          <rPr>
            <sz val="9"/>
            <color indexed="81"/>
            <rFont val="Tahoma"/>
            <family val="2"/>
          </rPr>
          <t xml:space="preserve">
Shoulder Impingement Surgery for Subacromial Pain ) policy</t>
        </r>
      </text>
    </comment>
    <comment ref="I11" authorId="0" shapeId="0" xr:uid="{35D6509E-2E7C-4555-B80C-4F73E763BE12}">
      <text>
        <r>
          <rPr>
            <b/>
            <sz val="9"/>
            <color indexed="81"/>
            <rFont val="Tahoma"/>
            <family val="2"/>
          </rPr>
          <t>Jamie Smyth:</t>
        </r>
        <r>
          <rPr>
            <sz val="9"/>
            <color indexed="81"/>
            <rFont val="Tahoma"/>
            <family val="2"/>
          </rPr>
          <t xml:space="preserve">
Management of Shoulder Pain (including referral for surgical assessment) policy</t>
        </r>
      </text>
    </comment>
    <comment ref="J11" authorId="0" shapeId="0" xr:uid="{0E8BA0F7-A37A-4F18-BBBD-1765F626FA37}">
      <text>
        <r>
          <rPr>
            <b/>
            <sz val="9"/>
            <color indexed="81"/>
            <rFont val="Tahoma"/>
            <family val="2"/>
          </rPr>
          <t>Jamie Smyth:</t>
        </r>
        <r>
          <rPr>
            <sz val="9"/>
            <color indexed="81"/>
            <rFont val="Tahoma"/>
            <family val="2"/>
          </rPr>
          <t xml:space="preserve">
Subacromial Shoulder Pain, Arthroscopic Shoulder Decompression Surgery Policy</t>
        </r>
      </text>
    </comment>
    <comment ref="Q11" authorId="41" shapeId="0" xr:uid="{E861EBD4-8EAC-488B-AD70-2F1969E3A609}">
      <text>
        <t>[Threaded comment]
Your version of Excel allows you to read this threaded comment; however, any edits to it will get removed if the file is opened in a newer version of Excel. Learn more: https://go.microsoft.com/fwlink/?linkid=870924
Comment:
    Unable to find</t>
      </text>
    </comment>
    <comment ref="T11" authorId="0" shapeId="0" xr:uid="{8A421573-02B4-46C7-979B-4229C99EAC1E}">
      <text>
        <r>
          <rPr>
            <b/>
            <sz val="9"/>
            <color indexed="81"/>
            <rFont val="Tahoma"/>
            <family val="2"/>
          </rPr>
          <t>Jamie Smyth:</t>
        </r>
        <r>
          <rPr>
            <sz val="9"/>
            <color indexed="81"/>
            <rFont val="Tahoma"/>
            <family val="2"/>
          </rPr>
          <t xml:space="preserve">
Management of Musculo-Skeletal Conditions - Commissioning Policy v1.5</t>
        </r>
      </text>
    </comment>
    <comment ref="AA11" authorId="0" shapeId="0" xr:uid="{822A1A3B-BEC3-404B-BB1D-544DA83362CA}">
      <text>
        <r>
          <rPr>
            <b/>
            <sz val="9"/>
            <color indexed="81"/>
            <rFont val="Tahoma"/>
            <family val="2"/>
          </rPr>
          <t>Jamie Smyth:</t>
        </r>
        <r>
          <rPr>
            <sz val="9"/>
            <color indexed="81"/>
            <rFont val="Tahoma"/>
            <family val="2"/>
          </rPr>
          <t xml:space="preserve">
https://www.midandsouthessex.ics.nhs.uk/publications/srp-013-arthroscopic-shoulder-decompression-for-subacromial-pain/</t>
        </r>
      </text>
    </comment>
    <comment ref="AJ11" authorId="0" shapeId="0" xr:uid="{C483AEFC-AFF0-4A4C-9231-A3195E688CE2}">
      <text>
        <r>
          <rPr>
            <b/>
            <sz val="9"/>
            <color indexed="81"/>
            <rFont val="Tahoma"/>
            <family val="2"/>
          </rPr>
          <t>Jamie Smyth:</t>
        </r>
        <r>
          <rPr>
            <sz val="9"/>
            <color indexed="81"/>
            <rFont val="Tahoma"/>
            <family val="2"/>
          </rPr>
          <t xml:space="preserve">
Shoulder Impingement Surgery CBA Policy</t>
        </r>
      </text>
    </comment>
    <comment ref="AO11" authorId="0" shapeId="0" xr:uid="{4286045E-5055-4009-BF1F-422E1406D4AE}">
      <text>
        <r>
          <rPr>
            <b/>
            <sz val="9"/>
            <color indexed="81"/>
            <rFont val="Tahoma"/>
            <family val="2"/>
          </rPr>
          <t>Jamie Smyth:</t>
        </r>
        <r>
          <rPr>
            <sz val="9"/>
            <color indexed="81"/>
            <rFont val="Tahoma"/>
            <family val="2"/>
          </rPr>
          <t xml:space="preserve">
https://www.surreyheartlands.org/tnrf1-musculoskeletal
Subacromial shoulder decompression (surgery for shoulder impingement)
</t>
        </r>
      </text>
    </comment>
    <comment ref="I13" authorId="42" shapeId="0" xr:uid="{C7830C5C-BA18-4672-B323-6DEF8550171B}">
      <text>
        <t>[Threaded comment]
Your version of Excel allows you to read this threaded comment; however, any edits to it will get removed if the file is opened in a newer version of Excel. Learn more: https://go.microsoft.com/fwlink/?linkid=870924
Comment:
    Plasma in foot policy https://www.cpics.org.uk/clinical-policies/</t>
      </text>
    </comment>
    <comment ref="T13" authorId="43" shapeId="0" xr:uid="{37E1ED9F-DB28-4638-97CD-A80A33794ED4}">
      <text>
        <t>[Threaded comment]
Your version of Excel allows you to read this threaded comment; however, any edits to it will get removed if the file is opened in a newer version of Excel. Learn more: https://go.microsoft.com/fwlink/?linkid=870924
Comment:
    IFR “Prolotherapy (“proliferation therapy” or “regenerative injection therapy”) and Platelet Rich Plasma Injections The Commissioner DOES NOT ROUTINELY SUPPORT the NHS funding of these interventions across all indications, an IFR application based on exceptional clinical circumstances may be considered. ”https://www.hwics.org.uk/application/files/2117/0904/4510/ICB_MSK_Surgery_and_Therapy_V1.5_Final_6.pdf</t>
      </text>
    </comment>
    <comment ref="D14" authorId="0" shapeId="0" xr:uid="{C81E4FA6-3206-42A8-9D84-303BF91BEFCF}">
      <text>
        <r>
          <rPr>
            <b/>
            <sz val="9"/>
            <color indexed="81"/>
            <rFont val="Tahoma"/>
            <family val="2"/>
          </rPr>
          <t>Jamie Smyth:</t>
        </r>
        <r>
          <rPr>
            <sz val="9"/>
            <color indexed="81"/>
            <rFont val="Tahoma"/>
            <family val="2"/>
          </rPr>
          <t xml:space="preserve">
Hernia repair in adults – biological mesh for abdominal hernia repair policy</t>
        </r>
      </text>
    </comment>
    <comment ref="F14" authorId="0" shapeId="0" xr:uid="{0F8A20D0-8785-4CA9-944D-A6BF693F3E0C}">
      <text>
        <r>
          <rPr>
            <b/>
            <sz val="9"/>
            <color indexed="81"/>
            <rFont val="Tahoma"/>
            <family val="2"/>
          </rPr>
          <t>Jamie Smyth:</t>
        </r>
        <r>
          <rPr>
            <sz val="9"/>
            <color indexed="81"/>
            <rFont val="Tahoma"/>
            <family val="2"/>
          </rPr>
          <t xml:space="preserve">
Covered under Tonsillectomy policy</t>
        </r>
      </text>
    </comment>
    <comment ref="G14" authorId="0" shapeId="0" xr:uid="{BC978FC9-BDF1-40B6-80B8-C94223255103}">
      <text>
        <r>
          <rPr>
            <b/>
            <sz val="9"/>
            <color indexed="81"/>
            <rFont val="Tahoma"/>
            <family val="2"/>
          </rPr>
          <t>Jamie Smyth:</t>
        </r>
        <r>
          <rPr>
            <sz val="9"/>
            <color indexed="81"/>
            <rFont val="Tahoma"/>
            <family val="2"/>
          </rPr>
          <t xml:space="preserve">
Abdominal Wall Hernia Repair for Patients 16 years and over  policy</t>
        </r>
      </text>
    </comment>
    <comment ref="P14" authorId="44" shapeId="0" xr:uid="{1F9A7A00-41DC-4A9B-90CE-ECA876209840}">
      <text>
        <t xml:space="preserve">[Threaded comment]
Your version of Excel allows you to read this threaded comment; however, any edits to it will get removed if the file is opened in a newer version of Excel. Learn more: https://go.microsoft.com/fwlink/?linkid=870924
Comment:
    Unable to find
</t>
      </text>
    </comment>
    <comment ref="U14" authorId="0" shapeId="0" xr:uid="{A4499C18-89D0-4D6A-B0CB-4AFAFC2FF8B3}">
      <text>
        <r>
          <rPr>
            <b/>
            <sz val="9"/>
            <color indexed="81"/>
            <rFont val="Tahoma"/>
            <family val="2"/>
          </rPr>
          <t>Jamie Smyth:</t>
        </r>
        <r>
          <rPr>
            <sz val="9"/>
            <color indexed="81"/>
            <rFont val="Tahoma"/>
            <family val="2"/>
          </rPr>
          <t xml:space="preserve">
https://www.hweclinicalguidance.nhs.uk/clinical-policies/biological-mesh/</t>
        </r>
      </text>
    </comment>
    <comment ref="W14" authorId="0" shapeId="0" xr:uid="{1268BDF0-2007-411E-A425-E1D4E9E17E6D}">
      <text>
        <r>
          <rPr>
            <b/>
            <sz val="9"/>
            <color indexed="81"/>
            <rFont val="Tahoma"/>
            <family val="2"/>
          </rPr>
          <t>Jamie Smyth:</t>
        </r>
        <r>
          <rPr>
            <sz val="9"/>
            <color indexed="81"/>
            <rFont val="Tahoma"/>
            <family val="2"/>
          </rPr>
          <t xml:space="preserve">
9.4 Biological meshes for elective hernia repair in adults</t>
        </r>
      </text>
    </comment>
    <comment ref="Y14" authorId="0" shapeId="0" xr:uid="{088B09ED-2CFF-4B3D-9E73-994915862AB2}">
      <text>
        <r>
          <rPr>
            <b/>
            <sz val="9"/>
            <color indexed="81"/>
            <rFont val="Tahoma"/>
            <family val="2"/>
          </rPr>
          <t>Jamie Smyth:</t>
        </r>
        <r>
          <rPr>
            <sz val="9"/>
            <color indexed="81"/>
            <rFont val="Tahoma"/>
            <family val="2"/>
          </rPr>
          <t xml:space="preserve">
LLR Policy for the use of Surgical Biological Mesh</t>
        </r>
      </text>
    </comment>
    <comment ref="AA14" authorId="0" shapeId="0" xr:uid="{6B5A7F66-7348-4FBF-AE0E-28B4252488B1}">
      <text>
        <r>
          <rPr>
            <b/>
            <sz val="9"/>
            <color indexed="81"/>
            <rFont val="Tahoma"/>
            <family val="2"/>
          </rPr>
          <t>Jamie Smyth:</t>
        </r>
        <r>
          <rPr>
            <sz val="9"/>
            <color indexed="81"/>
            <rFont val="Tahoma"/>
            <family val="2"/>
          </rPr>
          <t xml:space="preserve">
https://www.midandsouthessex.ics.nhs.uk/publications/019-biological-mesh/</t>
        </r>
      </text>
    </comment>
    <comment ref="F15" authorId="45" shapeId="0" xr:uid="{1F0E4B1A-441E-4AB4-9AF8-10344B8FDD2E}">
      <text>
        <t>[Threaded comment]
Your version of Excel allows you to read this threaded comment; however, any edits to it will get removed if the file is opened in a newer version of Excel. Learn more: https://go.microsoft.com/fwlink/?linkid=870924
Comment:
    EBI programme https://blackcountry.icb.nhs.uk/have-your-say/get-involved/current-consultations-and-engagement/clinical-policy-review2</t>
      </text>
    </comment>
    <comment ref="K15" authorId="46" shapeId="0" xr:uid="{EEA2D562-A916-4396-8354-5E04E983286E}">
      <text>
        <t>[Threaded comment]
Your version of Excel allows you to read this threaded comment; however, any edits to it will get removed if the file is opened in a newer version of Excel. Learn more: https://go.microsoft.com/fwlink/?linkid=870924
Comment:
    Note, the removal of anal skin tags is not routinely commissioned by NHS Cornwall and Isles of Scilly Integrated Care Board. https://docs.cios.icb.nhs.uk/DocumentsLibrary/NHSCornwallAndIslesOfScilly/Services/IndividualFundingRequests/CommissioningPolicies.pdf</t>
      </text>
    </comment>
    <comment ref="T16" authorId="47" shapeId="0" xr:uid="{DCE3107F-D018-48EA-8B8A-B61D733180FB}">
      <text>
        <t>[Threaded comment]
Your version of Excel allows you to read this threaded comment; however, any edits to it will get removed if the file is opened in a newer version of Excel. Learn more: https://go.microsoft.com/fwlink/?linkid=870924
Comment:
    Unable to find ref</t>
      </text>
    </comment>
    <comment ref="C17" authorId="48" shapeId="0" xr:uid="{927AFAF1-1FAB-40C5-B59D-552959F7F85A}">
      <text>
        <t>[Threaded comment]
Your version of Excel allows you to read this threaded comment; however, any edits to it will get removed if the file is opened in a newer version of Excel. Learn more: https://go.microsoft.com/fwlink/?linkid=870924
Comment:
    ABDOMINOPLASTY / APRONECTOMY separate file, however also IFR</t>
      </text>
    </comment>
    <comment ref="D17" authorId="0" shapeId="0" xr:uid="{D717CD85-536E-4046-97F3-1158A29108AC}">
      <text>
        <r>
          <rPr>
            <b/>
            <sz val="9"/>
            <color indexed="81"/>
            <rFont val="Tahoma"/>
            <family val="2"/>
          </rPr>
          <t>Jamie Smyth:</t>
        </r>
        <r>
          <rPr>
            <sz val="9"/>
            <color indexed="81"/>
            <rFont val="Tahoma"/>
            <family val="2"/>
          </rPr>
          <t xml:space="preserve">
Body contouring policy</t>
        </r>
      </text>
    </comment>
    <comment ref="E17" authorId="49" shapeId="0" xr:uid="{E0BAAB60-93DA-4DF1-958E-A99CE5ABB0A6}">
      <text>
        <t>[Threaded comment]
Your version of Excel allows you to read this threaded comment; however, any edits to it will get removed if the file is opened in a newer version of Excel. Learn more: https://go.microsoft.com/fwlink/?linkid=870924
Comment:
    IFR - not routinely commissioned https://www.birminghamsolihull.icb.nhs.uk/application/files/5016/5952/2676/Policy_for_cosmetic_surgery_other_cosmetic_procedures.pdf - abdominoplast and below thigh lift etc https://www.birminghamsolihull.icb.nhs.uk/application/files/8816/5952/2288/Policy_for_cosmetic_surgery_thigh_buttock_arm_lifts.pdf</t>
      </text>
    </comment>
    <comment ref="F17" authorId="0" shapeId="0" xr:uid="{296EF717-9DA4-4B17-8816-8C9A5C2B7F77}">
      <text>
        <r>
          <rPr>
            <b/>
            <sz val="9"/>
            <color indexed="81"/>
            <rFont val="Tahoma"/>
            <family val="2"/>
          </rPr>
          <t>Jamie Smyth:</t>
        </r>
        <r>
          <rPr>
            <sz val="9"/>
            <color indexed="81"/>
            <rFont val="Tahoma"/>
            <family val="2"/>
          </rPr>
          <t xml:space="preserve">
Cosmetic surgery policies - AO unable to find??
Was previously available, but now not on website. Likely result of ongoing review of policies</t>
        </r>
      </text>
    </comment>
    <comment ref="G17" authorId="0" shapeId="0" xr:uid="{F1A67C42-43AD-4642-AF40-75481CFC3F60}">
      <text>
        <r>
          <rPr>
            <b/>
            <sz val="9"/>
            <color indexed="81"/>
            <rFont val="Tahoma"/>
            <family val="2"/>
          </rPr>
          <t>Jamie Smyth:</t>
        </r>
        <r>
          <rPr>
            <sz val="9"/>
            <color indexed="81"/>
            <rFont val="Tahoma"/>
            <family val="2"/>
          </rPr>
          <t xml:space="preserve">
Skin Excision for Contouring &amp; Loose Skin including Buttock, Arm and or Thigh Lift policy</t>
        </r>
      </text>
    </comment>
    <comment ref="J17" authorId="0" shapeId="0" xr:uid="{BC7DE621-D93A-4B56-B50E-450890830DFD}">
      <text>
        <r>
          <rPr>
            <b/>
            <sz val="9"/>
            <color indexed="81"/>
            <rFont val="Tahoma"/>
            <family val="2"/>
          </rPr>
          <t>Jamie Smyth:</t>
        </r>
        <r>
          <rPr>
            <sz val="9"/>
            <color indexed="81"/>
            <rFont val="Tahoma"/>
            <family val="2"/>
          </rPr>
          <t xml:space="preserve">
Body Contouring and Other Excisions, Buttock Lift, Thigh Lift (Thighplasty) and Arm Lift (Brachioplasty) Policy - "Not routinely commissioned"</t>
        </r>
      </text>
    </comment>
    <comment ref="N17" authorId="0" shapeId="0" xr:uid="{4ECB4BC1-187A-43A4-B8DE-EEBA80F0C0BB}">
      <text>
        <r>
          <rPr>
            <b/>
            <sz val="9"/>
            <color indexed="81"/>
            <rFont val="Tahoma"/>
            <family val="2"/>
          </rPr>
          <t>Jamie Smyth:</t>
        </r>
        <r>
          <rPr>
            <sz val="9"/>
            <color indexed="81"/>
            <rFont val="Tahoma"/>
            <family val="2"/>
          </rPr>
          <t xml:space="preserve">
Comestic Policy - Appendix 1</t>
        </r>
      </text>
    </comment>
    <comment ref="Q17" authorId="0" shapeId="0" xr:uid="{42AC2974-127C-45E4-AF4A-8B8B2E677BBF}">
      <text>
        <r>
          <rPr>
            <b/>
            <sz val="9"/>
            <color indexed="81"/>
            <rFont val="Tahoma"/>
            <family val="2"/>
          </rPr>
          <t>Jamie Smyth:</t>
        </r>
        <r>
          <rPr>
            <sz val="9"/>
            <color indexed="81"/>
            <rFont val="Tahoma"/>
            <family val="2"/>
          </rPr>
          <t xml:space="preserve">
Body contouring procedures - INNF</t>
        </r>
      </text>
    </comment>
    <comment ref="V17" authorId="50" shapeId="0" xr:uid="{76C09B9D-C594-4531-9FEF-E68BF336473B}">
      <text>
        <t xml:space="preserve">[Threaded comment]
Your version of Excel allows you to read this threaded comment; however, any edits to it will get removed if the file is opened in a newer version of Excel. Learn more: https://go.microsoft.com/fwlink/?linkid=870924
Comment:
    Unable to find </t>
      </text>
    </comment>
    <comment ref="X17" authorId="51" shapeId="0" xr:uid="{D3B89DDE-1F05-4F8F-9927-8CD78C80AA5E}">
      <text>
        <t>[Threaded comment]
Your version of Excel allows you to read this threaded comment; however, any edits to it will get removed if the file is opened in a newer version of Excel. Learn more: https://go.microsoft.com/fwlink/?linkid=870924
Comment:
    Appronectomy funded but removal excess skin IFR https://www.healthierlsc.co.uk/application/files/4816/8487/3599/LSCICB_Clin43_Policy_for_Cosmetic_Procedures_v3.2.pdf</t>
      </text>
    </comment>
    <comment ref="Y17" authorId="52" shapeId="0" xr:uid="{C8697DFD-0B1D-4F99-87DA-4E87C7F33623}">
      <text>
        <t xml:space="preserve">[Threaded comment]
Your version of Excel allows you to read this threaded comment; however, any edits to it will get removed if the file is opened in a newer version of Excel. Learn more: https://go.microsoft.com/fwlink/?linkid=870924
Comment:
    IFR? “Excision of Skin for Cosmetic Indications ” https://leicesterleicestershireandrutland.icb.nhs.uk/policy-for-leicester-leicestershire-and-rutland-approved-referral-pathways/
Reply:
    However “abdominoplasty” has criteria </t>
      </text>
    </comment>
    <comment ref="AA17" authorId="53" shapeId="0" xr:uid="{F3281B17-2A72-480B-ABF9-786D83A9283B}">
      <text>
        <t>[Threaded comment]
Your version of Excel allows you to read this threaded comment; however, any edits to it will get removed if the file is opened in a newer version of Excel. Learn more: https://go.microsoft.com/fwlink/?linkid=870924
Comment:
    IFR https://www.midandsouthessex.ics.nhs.uk/publications/srp-090-skin-contouring-body-contouring-tumescent-liposuction-liposuction-liposculpture/</t>
      </text>
    </comment>
    <comment ref="AE17" authorId="54" shapeId="0" xr:uid="{CD851170-8BE9-409A-95F6-040E7D90B386}">
      <text>
        <t xml:space="preserve">[Threaded comment]
Your version of Excel allows you to read this threaded comment; however, any edits to it will get removed if the file is opened in a newer version of Excel. Learn more: https://go.microsoft.com/fwlink/?linkid=870924
Comment:
    IFR https://primarycare.northeastlondon.icb.nhs.uk/wp-content/uploads/2024/05/NEL-EBI-Policy-Version-2.2-Final.pdf Category 1 Procedures: Individual funding request (IFR) Excess skin excision from buttocks, thighs and arms </t>
      </text>
    </comment>
    <comment ref="AH17" authorId="0" shapeId="0" xr:uid="{8A493CCF-385C-44AE-97D8-00987CB7E785}">
      <text>
        <r>
          <rPr>
            <b/>
            <sz val="9"/>
            <color indexed="81"/>
            <rFont val="Tahoma"/>
            <family val="2"/>
          </rPr>
          <t>Jamie Smyth:</t>
        </r>
        <r>
          <rPr>
            <sz val="9"/>
            <color indexed="81"/>
            <rFont val="Tahoma"/>
            <family val="2"/>
          </rPr>
          <t xml:space="preserve">
Plastic Surgery treatments - Page 163</t>
        </r>
      </text>
    </comment>
    <comment ref="AI17" authorId="0" shapeId="0" xr:uid="{B7C7F48E-913C-4904-BBDB-218CA595F66C}">
      <text>
        <r>
          <rPr>
            <b/>
            <sz val="9"/>
            <color indexed="81"/>
            <rFont val="Tahoma"/>
            <family val="2"/>
          </rPr>
          <t>Jamie Smyth:</t>
        </r>
        <r>
          <rPr>
            <sz val="9"/>
            <color indexed="81"/>
            <rFont val="Tahoma"/>
            <family val="2"/>
          </rPr>
          <t xml:space="preserve">
Page 13</t>
        </r>
      </text>
    </comment>
    <comment ref="AK17" authorId="55" shapeId="0" xr:uid="{1E8AA6D7-DC39-46B0-98EA-8608F4AFCCE8}">
      <text>
        <t xml:space="preserve">[Threaded comment]
Your version of Excel allows you to read this threaded comment; however, any edits to it will get removed if the file is opened in a newer version of Excel. Learn more: https://go.microsoft.com/fwlink/?linkid=870924
Comment:
    ?criteria? https://www.selondonics.org/wp-content/uploads/dlm_uploads/SEL-Treatment-Access-Policy-July-2024-v1.pdf 1.6 Body contouring (Abdominoplasty or tummy tuck, thigh lift and buttock lift, excision of redundant skin or fat liposuction) These procedures are not available on cosmetic grounds. An exception may be made for post-traumatic surgery for contouring at diabetes injection sites or for lymphoedema. 
</t>
      </text>
    </comment>
    <comment ref="C18" authorId="56" shapeId="0" xr:uid="{90150F86-093A-41A4-9E9F-2274C0DEEC5D}">
      <text>
        <t>[Threaded comment]
Your version of Excel allows you to read this threaded comment; however, any edits to it will get removed if the file is opened in a newer version of Excel. Learn more: https://go.microsoft.com/fwlink/?linkid=870924
Comment:
    No mention of cosmetic reasons. However in anal fissures policy “
 Botulinum Toxin treatment will not be available for the treatment of facial ageing or excessive wrinkles. 
” - so would that be N/A?</t>
      </text>
    </comment>
    <comment ref="F18" authorId="0" shapeId="0" xr:uid="{A19EBFF1-3037-48E9-B355-F7AF8384B4D7}">
      <text>
        <r>
          <rPr>
            <b/>
            <sz val="9"/>
            <color indexed="81"/>
            <rFont val="Tahoma"/>
            <family val="2"/>
          </rPr>
          <t>Jamie Smyth:</t>
        </r>
        <r>
          <rPr>
            <sz val="9"/>
            <color indexed="81"/>
            <rFont val="Tahoma"/>
            <family val="2"/>
          </rPr>
          <t xml:space="preserve">
Cosmetic botox policy</t>
        </r>
      </text>
    </comment>
    <comment ref="J18" authorId="57" shapeId="0" xr:uid="{57FD4BDF-6A73-4754-BE08-791F5A36C42E}">
      <text>
        <t>[Threaded comment]
Your version of Excel allows you to read this threaded comment; however, any edits to it will get removed if the file is opened in a newer version of Excel. Learn more: https://go.microsoft.com/fwlink/?linkid=870924
Comment:
    Should be IFR https://www.cheshireandmerseyside.nhs.uk/media/d3rlqai2/place-sef-cbct-july2024.pdf</t>
      </text>
    </comment>
    <comment ref="L18" authorId="0" shapeId="0" xr:uid="{7714AD43-EEEB-4E67-AA8A-A323EAA24C23}">
      <text>
        <r>
          <rPr>
            <b/>
            <sz val="9"/>
            <color indexed="81"/>
            <rFont val="Tahoma"/>
            <family val="2"/>
          </rPr>
          <t>Jamie Smyth:</t>
        </r>
        <r>
          <rPr>
            <sz val="9"/>
            <color indexed="81"/>
            <rFont val="Tahoma"/>
            <family val="2"/>
          </rPr>
          <t xml:space="preserve">
Treatments Designed to Improve Aesthetic Appearance Policy - Treatments to address facial atrophy</t>
        </r>
      </text>
    </comment>
    <comment ref="N18" authorId="0" shapeId="0" xr:uid="{D311BC1A-4A95-4F3A-9CAC-69E0DA6DB9E1}">
      <text>
        <r>
          <rPr>
            <b/>
            <sz val="9"/>
            <color indexed="81"/>
            <rFont val="Tahoma"/>
            <family val="2"/>
          </rPr>
          <t>Jamie Smyth:</t>
        </r>
        <r>
          <rPr>
            <sz val="9"/>
            <color indexed="81"/>
            <rFont val="Tahoma"/>
            <family val="2"/>
          </rPr>
          <t xml:space="preserve">
Comestic Policy - Appendix 1</t>
        </r>
      </text>
    </comment>
    <comment ref="T18" authorId="0" shapeId="0" xr:uid="{FB3ADFA4-F671-4D07-B27F-619AF6402FE7}">
      <text>
        <r>
          <rPr>
            <b/>
            <sz val="9"/>
            <color indexed="81"/>
            <rFont val="Tahoma"/>
            <family val="2"/>
          </rPr>
          <t>Jamie Smyth:</t>
        </r>
        <r>
          <rPr>
            <sz val="9"/>
            <color indexed="81"/>
            <rFont val="Tahoma"/>
            <family val="2"/>
          </rPr>
          <t xml:space="preserve">
Alternative and Aesthetic Treatment &amp; Surgery - Commissioning Policy v1.4 - Under rhytoidectomy section</t>
        </r>
      </text>
    </comment>
    <comment ref="U18" authorId="0" shapeId="0" xr:uid="{E4747A30-06E4-41BE-A499-26810442CAAD}">
      <text>
        <r>
          <rPr>
            <b/>
            <sz val="9"/>
            <color indexed="81"/>
            <rFont val="Tahoma"/>
            <family val="2"/>
          </rPr>
          <t>Jamie Smyth:</t>
        </r>
        <r>
          <rPr>
            <sz val="9"/>
            <color indexed="81"/>
            <rFont val="Tahoma"/>
            <family val="2"/>
          </rPr>
          <t xml:space="preserve">
Can't find mention of Specific policies. "Cosmetic indications" not recommended https://www.hweclinicalguidance.nhs.uk/all-clinical-areas-documents/download?cid=947&amp;checksum=c4b31ce7d95c75ca70d50c19aef08bf1</t>
        </r>
      </text>
    </comment>
    <comment ref="V18" authorId="58" shapeId="0" xr:uid="{CD96FCE1-AB86-4646-97AC-B3AD7868FE70}">
      <text>
        <t>[Threaded comment]
Your version of Excel allows you to read this threaded comment; however, any edits to it will get removed if the file is opened in a newer version of Excel. Learn more: https://go.microsoft.com/fwlink/?linkid=870924
Comment:
    Unable to find ref</t>
      </text>
    </comment>
    <comment ref="W18" authorId="59" shapeId="0" xr:uid="{AC054459-7559-4F37-8912-A174AF7CDB13}">
      <text>
        <t>[Threaded comment]
Your version of Excel allows you to read this threaded comment; however, any edits to it will get removed if the file is opened in a newer version of Excel. Learn more: https://go.microsoft.com/fwlink/?linkid=870924
Comment:
    Unable to find</t>
      </text>
    </comment>
    <comment ref="AD18" authorId="60" shapeId="0" xr:uid="{1A6C699F-3DE3-4962-A300-D1B39285E783}">
      <text>
        <t>[Threaded comment]
Your version of Excel allows you to read this threaded comment; however, any edits to it will get removed if the file is opened in a newer version of Excel. Learn more: https://go.microsoft.com/fwlink/?linkid=870924
Comment:
    Cannot find direct ref to cosmetic botulinum</t>
      </text>
    </comment>
    <comment ref="AJ18" authorId="0" shapeId="0" xr:uid="{C04542FD-36F5-41DF-AFFE-C4C09FAE0DDF}">
      <text>
        <r>
          <rPr>
            <b/>
            <sz val="9"/>
            <color indexed="81"/>
            <rFont val="Tahoma"/>
            <family val="2"/>
          </rPr>
          <t>Jamie Smyth:</t>
        </r>
        <r>
          <rPr>
            <sz val="9"/>
            <color indexed="81"/>
            <rFont val="Tahoma"/>
            <family val="2"/>
          </rPr>
          <t xml:space="preserve">
Facial Surgery Policy</t>
        </r>
      </text>
    </comment>
    <comment ref="AP18" authorId="0" shapeId="0" xr:uid="{7608F9BA-6BAB-4E55-A8D2-629FC1171D88}">
      <text>
        <r>
          <rPr>
            <b/>
            <sz val="9"/>
            <color indexed="81"/>
            <rFont val="Tahoma"/>
            <family val="2"/>
          </rPr>
          <t>Jamie Smyth:</t>
        </r>
        <r>
          <rPr>
            <sz val="9"/>
            <color indexed="81"/>
            <rFont val="Tahoma"/>
            <family val="2"/>
          </rPr>
          <t xml:space="preserve">
7. Botulinum Toxin Injections - Page 21</t>
        </r>
      </text>
    </comment>
    <comment ref="C19" authorId="61" shapeId="0" xr:uid="{EB222A1A-C950-43C7-A642-1862CEF0449F}">
      <text>
        <t>[Threaded comment]
Your version of Excel allows you to read this threaded comment; however, any edits to it will get removed if the file is opened in a newer version of Excel. Learn more: https://go.microsoft.com/fwlink/?linkid=870924
Comment:
    “not routinely commissioned” rather than exceptional funding reqired</t>
      </text>
    </comment>
    <comment ref="F19" authorId="0" shapeId="0" xr:uid="{E8095C36-C8B4-4168-8665-0153CEF9A8D6}">
      <text>
        <r>
          <rPr>
            <b/>
            <sz val="9"/>
            <color indexed="81"/>
            <rFont val="Tahoma"/>
            <family val="2"/>
          </rPr>
          <t>Jamie Smyth:</t>
        </r>
        <r>
          <rPr>
            <sz val="9"/>
            <color indexed="81"/>
            <rFont val="Tahoma"/>
            <family val="2"/>
          </rPr>
          <t xml:space="preserve">
Cosmetic botox policy</t>
        </r>
      </text>
    </comment>
    <comment ref="P19" authorId="62" shapeId="0" xr:uid="{D553B37D-9D27-4116-8A4C-CB15C6786DA2}">
      <text>
        <t>[Threaded comment]
Your version of Excel allows you to read this threaded comment; however, any edits to it will get removed if the file is opened in a newer version of Excel. Learn more: https://go.microsoft.com/fwlink/?linkid=870924
Comment:
    Unable to find within https://fundingrequests.scwcsu.nhs.uk/wp-content/uploads/2024/12/BOBFPC16-Aesthetic-treatments-for-adults-and-children-v2.0.pdf</t>
      </text>
    </comment>
    <comment ref="Z19" authorId="63" shapeId="0" xr:uid="{5ACDB752-32C7-4E97-AEF3-F73BFD377FBE}">
      <text>
        <t xml:space="preserve">[Threaded comment]
Your version of Excel allows you to read this threaded comment; however, any edits to it will get removed if the file is opened in a newer version of Excel. Learn more: https://go.microsoft.com/fwlink/?linkid=870924
Comment:
    IFR https://lincolnshire.icb.nhs.uk/~documents/icb-publications/our-policies-and-procedures/clinical-governance/cg-003-prior-approval-policy/?layout=file
</t>
      </text>
    </comment>
    <comment ref="AA19" authorId="0" shapeId="0" xr:uid="{0AFF82D8-0BA4-4880-9B96-F3511BB0D64C}">
      <text>
        <r>
          <rPr>
            <b/>
            <sz val="9"/>
            <color indexed="81"/>
            <rFont val="Tahoma"/>
            <family val="2"/>
          </rPr>
          <t>Jamie Smyth:</t>
        </r>
        <r>
          <rPr>
            <sz val="9"/>
            <color indexed="81"/>
            <rFont val="Tahoma"/>
            <family val="2"/>
          </rPr>
          <t xml:space="preserve">
https://www.midandsouthessex.ics.nhs.uk/publications/022-conditions-involving-the-use-of-botulinum-toxin/</t>
        </r>
      </text>
    </comment>
    <comment ref="AH19" authorId="0" shapeId="0" xr:uid="{1F7F8551-9389-4C5A-A986-71CC540EE766}">
      <text>
        <r>
          <rPr>
            <b/>
            <sz val="9"/>
            <color indexed="81"/>
            <rFont val="Tahoma"/>
            <family val="2"/>
          </rPr>
          <t>Jamie Smyth:</t>
        </r>
        <r>
          <rPr>
            <sz val="9"/>
            <color indexed="81"/>
            <rFont val="Tahoma"/>
            <family val="2"/>
          </rPr>
          <t xml:space="preserve">
Non-pharmacological treatments are IFR - implies that pharmacological treatments are commissioned. Page 157. AO : I interprate as IFR - as mentions prescriptions then others, and this comes under others</t>
        </r>
      </text>
    </comment>
    <comment ref="AI19" authorId="64" shapeId="0" xr:uid="{CF1D09E2-F077-4F1E-82BE-3D8CABDC50C1}">
      <text>
        <t>[Threaded comment]
Your version of Excel allows you to read this threaded comment; however, any edits to it will get removed if the file is opened in a newer version of Excel. Learn more: https://go.microsoft.com/fwlink/?linkid=870924
Comment:
    Tick https://www.shropshiretelfordandwrekin.nhs.uk/wp-content/uploads/STWCCG-Botulinum-Policy.pdf</t>
      </text>
    </comment>
    <comment ref="AL19" authorId="0" shapeId="0" xr:uid="{4B4E0C36-4AF6-4717-B86E-A78398BB4FD1}">
      <text>
        <r>
          <rPr>
            <b/>
            <sz val="9"/>
            <color indexed="81"/>
            <rFont val="Tahoma"/>
            <family val="2"/>
          </rPr>
          <t>Jamie Smyth:</t>
        </r>
        <r>
          <rPr>
            <sz val="9"/>
            <color indexed="81"/>
            <rFont val="Tahoma"/>
            <family val="2"/>
          </rPr>
          <t xml:space="preserve">
Not mentioned in document</t>
        </r>
      </text>
    </comment>
    <comment ref="AP19" authorId="65" shapeId="0" xr:uid="{EB834F2F-E2AA-4D46-8374-4D2FFBE99CC2}">
      <text>
        <t>[Threaded comment]
Your version of Excel allows you to read this threaded comment; however, any edits to it will get removed if the file is opened in a newer version of Excel. Learn more: https://go.microsoft.com/fwlink/?linkid=870924
Comment:
    Hyperhidrosis is IFR https://int.sussex.ics.nhs.uk/clinical_documents/sussex-cec-clinical-policy/</t>
      </text>
    </comment>
    <comment ref="J20" authorId="66" shapeId="0" xr:uid="{431C98E7-87C3-4049-BE27-1733030883E0}">
      <text>
        <t>[Threaded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https://www.cheshireandmerseyside.nhs.uk/media/d3rlqai2/place-sef-cbct-july2024.pdf</t>
      </text>
    </comment>
    <comment ref="T20" authorId="67" shapeId="0" xr:uid="{351B3DE0-A114-4438-ACCA-A41A913D36F1}">
      <text>
        <t>[Threaded comment]
Your version of Excel allows you to read this threaded comment; however, any edits to it will get removed if the file is opened in a newer version of Excel. Learn more: https://go.microsoft.com/fwlink/?linkid=870924
Comment:
    Tick https://www.hereworcsformulary.nhs.uk/chaptersSubDetails.asp?FormularySectionID=1&amp;SubSectionRef=01.07.04&amp;SubSectionID=A100&amp;drugmatch=4948#4948</t>
      </text>
    </comment>
    <comment ref="U20" authorId="68" shapeId="0" xr:uid="{E3BF6242-1B07-4F57-B5D0-DBB8D4E95293}">
      <text>
        <t>[Threaded comment]
Your version of Excel allows you to read this threaded comment; however, any edits to it will get removed if the file is opened in a newer version of Excel. Learn more: https://go.microsoft.com/fwlink/?linkid=870924
Comment:
    Tick https://www.hweclinicalguidance.nhs.uk/all-clinical-areas-documents/download?cid=947&amp;checksum=c4b31ce7d95c75ca70d50c19aef08bf1</t>
      </text>
    </comment>
    <comment ref="AI20" authorId="69" shapeId="0" xr:uid="{92F24024-7970-4317-B72B-F047AE725144}">
      <text>
        <t>[Threaded comment]
Your version of Excel allows you to read this threaded comment; however, any edits to it will get removed if the file is opened in a newer version of Excel. Learn more: https://go.microsoft.com/fwlink/?linkid=870924
Comment:
    Tick https://www.shropshiretelfordandwrekin.nhs.uk/wp-content/uploads/STWCCG-Botulinum-Policy.pdf</t>
      </text>
    </comment>
    <comment ref="AP20" authorId="70" shapeId="0" xr:uid="{8B9830CE-AA20-40EF-89F2-C61C863E200D}">
      <text>
        <t>[Threaded comment]
Your version of Excel allows you to read this threaded comment; however, any edits to it will get removed if the file is opened in a newer version of Excel. Learn more: https://go.microsoft.com/fwlink/?linkid=870924
Comment:
    Cannot find ref https://int.sussex.ics.nhs.uk/clinical_documents/sussex-cec-clinical-policy/</t>
      </text>
    </comment>
    <comment ref="J21" authorId="71" shapeId="0" xr:uid="{0254F136-A52E-4E7A-B8BD-1E0A69A461FF}">
      <text>
        <t xml:space="preserve">[Threaded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https://www.cheshireandmerseyside.nhs.uk/media/d3rlqai2/place-sef-cbct-july2024.pdf
</t>
      </text>
    </comment>
    <comment ref="T21" authorId="72" shapeId="0" xr:uid="{9820304B-D4BD-41D9-B863-DDF3E8C5013E}">
      <text>
        <t>[Threaded comment]
Your version of Excel allows you to read this threaded comment; however, any edits to it will get removed if the file is opened in a newer version of Excel. Learn more: https://go.microsoft.com/fwlink/?linkid=870924
Comment:
    Tick https://www.hereworcsformulary.nhs.uk/chaptersSubDetails.asp?FormularySectionID=7&amp;SubSectionRef=07.04.02&amp;SubSectionID=B100&amp;drugmatch=4950#4950</t>
      </text>
    </comment>
    <comment ref="U21" authorId="73" shapeId="0" xr:uid="{58EFC9D1-4B76-48FA-9A0A-97917D3D6D9C}">
      <text>
        <t>[Threaded comment]
Your version of Excel allows you to read this threaded comment; however, any edits to it will get removed if the file is opened in a newer version of Excel. Learn more: https://go.microsoft.com/fwlink/?linkid=870924
Comment:
    Tick https://www.hweclinicalguidance.nhs.uk/all-clinical-areas-documents/download?cid=947&amp;checksum=c4b31ce7d95c75ca70d50c19aef08bf1</t>
      </text>
    </comment>
    <comment ref="AE21" authorId="74" shapeId="0" xr:uid="{9993CE51-1040-4094-A4FB-02C96D0CD836}">
      <text>
        <t>[Threaded comment]
Your version of Excel allows you to read this threaded comment; however, any edits to it will get removed if the file is opened in a newer version of Excel. Learn more: https://go.microsoft.com/fwlink/?linkid=870924
Comment:
    Botulinum A toxin is routinely funded and does not require prior approval for: 1. spasticity, hand and wrist disability associated with stroke, hemofacial spasm, spasmodic torticollis 2. severe hyperhidrosis, overactive bladder syndrome 
Reply:
    tick</t>
      </text>
    </comment>
    <comment ref="AI21" authorId="75" shapeId="0" xr:uid="{78890779-7930-4757-A061-9BBC3DD19F66}">
      <text>
        <t>[Threaded comment]
Your version of Excel allows you to read this threaded comment; however, any edits to it will get removed if the file is opened in a newer version of Excel. Learn more: https://go.microsoft.com/fwlink/?linkid=870924
Comment:
    Tick https://www.shropshiretelfordandwrekin.nhs.uk/wp-content/uploads/STWCCG-Botulinum-Policy.pdf</t>
      </text>
    </comment>
    <comment ref="AP21" authorId="76" shapeId="0" xr:uid="{F60ECB0A-4CFD-4031-8FA5-D29552E4031D}">
      <text>
        <t>[Threaded comment]
Your version of Excel allows you to read this threaded comment; however, any edits to it will get removed if the file is opened in a newer version of Excel. Learn more: https://go.microsoft.com/fwlink/?linkid=870924
Comment:
    Cannot find ref https://int.sussex.ics.nhs.uk/clinical_documents/sussex-cec-clinical-policy/</t>
      </text>
    </comment>
    <comment ref="J22" authorId="77" shapeId="0" xr:uid="{694DE290-F9AA-4ECC-92D4-BB033D306C6E}">
      <text>
        <t xml:space="preserve">[Threaded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https://www.cheshireandmerseyside.nhs.uk/media/d3rlqai2/place-sef-cbct-july2024.pdf
</t>
      </text>
    </comment>
    <comment ref="T22" authorId="78" shapeId="0" xr:uid="{DC2CE7EA-BB89-4B34-94AE-7DDDD4448335}">
      <text>
        <t>[Threaded comment]
Your version of Excel allows you to read this threaded comment; however, any edits to it will get removed if the file is opened in a newer version of Excel. Learn more: https://go.microsoft.com/fwlink/?linkid=870924
Comment:
    Tick https://www.hereworcsformulary.nhs.uk/chaptersSubDetails.asp?FormularySectionID=4&amp;SubSectionRef=04.09.03&amp;SubSectionID=B100&amp;drugmatch=1627#1627</t>
      </text>
    </comment>
    <comment ref="U22" authorId="79" shapeId="0" xr:uid="{15011604-A439-4B06-A00C-A80AAE25A6E5}">
      <text>
        <t>[Threaded comment]
Your version of Excel allows you to read this threaded comment; however, any edits to it will get removed if the file is opened in a newer version of Excel. Learn more: https://go.microsoft.com/fwlink/?linkid=870924
Comment:
    Tick https://www.hweclinicalguidance.nhs.uk/all-clinical-areas-documents/download?cid=947&amp;checksum=c4b31ce7d95c75ca70d50c19aef08bf1</t>
      </text>
    </comment>
    <comment ref="AE22" authorId="80" shapeId="0" xr:uid="{38174EBD-1954-472F-ACE7-105216487812}">
      <text>
        <t>[Threaded comment]
Your version of Excel allows you to read this threaded comment; however, any edits to it will get removed if the file is opened in a newer version of Excel. Learn more: https://go.microsoft.com/fwlink/?linkid=870924
Comment:
    Botulinum A toxin is routinely funded and does not require prior approval for: 1. spasticity, hand and wrist disability associated with stroke, hemofacial spasm, spasmodic torticollis 2. severe hyperhidrosis, overactive bladder syndrome 
Reply:
    tick</t>
      </text>
    </comment>
    <comment ref="AI22" authorId="81" shapeId="0" xr:uid="{779D5B5C-C0D4-45A4-BF95-A7ABDDD24C07}">
      <text>
        <t>[Threaded comment]
Your version of Excel allows you to read this threaded comment; however, any edits to it will get removed if the file is opened in a newer version of Excel. Learn more: https://go.microsoft.com/fwlink/?linkid=870924
Comment:
    Tick https://www.shropshiretelfordandwrekin.nhs.uk/wp-content/uploads/STWCCG-Botulinum-Policy.pdf</t>
      </text>
    </comment>
    <comment ref="F23" authorId="0" shapeId="0" xr:uid="{9FFAFA45-7C5E-4AB3-A29F-5C3816BEED52}">
      <text>
        <r>
          <rPr>
            <b/>
            <sz val="9"/>
            <color indexed="81"/>
            <rFont val="Tahoma"/>
            <family val="2"/>
          </rPr>
          <t>Jamie Smyth:</t>
        </r>
        <r>
          <rPr>
            <sz val="9"/>
            <color indexed="81"/>
            <rFont val="Tahoma"/>
            <family val="2"/>
          </rPr>
          <t xml:space="preserve">
Breast reconstruction policy - AO: unable to find</t>
        </r>
      </text>
    </comment>
    <comment ref="Y23" authorId="82" shapeId="0" xr:uid="{830F3859-F169-4B55-BDF3-075907A9B43B}">
      <text>
        <t>[Threaded comment]
Your version of Excel allows you to read this threaded comment; however, any edits to it will get removed if the file is opened in a newer version of Excel. Learn more: https://go.microsoft.com/fwlink/?linkid=870924
Comment:
    Cannot find ref to augmentation https://leicesterleicestershireandrutland.icb.nhs.uk/your-health/healthcare-and-treatment-policies/</t>
      </text>
    </comment>
    <comment ref="AH23" authorId="0" shapeId="0" xr:uid="{B47F87AA-F31D-4FED-95F8-584E2F5694A9}">
      <text>
        <r>
          <rPr>
            <b/>
            <sz val="9"/>
            <color indexed="81"/>
            <rFont val="Tahoma"/>
            <family val="2"/>
          </rPr>
          <t>Jamie Smyth:</t>
        </r>
        <r>
          <rPr>
            <sz val="9"/>
            <color indexed="81"/>
            <rFont val="Tahoma"/>
            <family val="2"/>
          </rPr>
          <t xml:space="preserve">
This commissioner will only routinely fund breast enlargement (augmentation mammoplasty) surgery if one of the following criteria is met:   • Developmental failure resulting in unilateral or bilateral absence of breast tissue/asymmetry e.g. Poland Syndrome / Tuberous Breast Deformity • To correct breast asymmetry due to trauma or as a result of surgery (mastectomy or lumpectomy) that results in a significant deformity.  Page 21</t>
        </r>
      </text>
    </comment>
    <comment ref="AI23" authorId="0" shapeId="0" xr:uid="{9107AF1D-D986-4487-9F04-15184560CD6A}">
      <text>
        <r>
          <rPr>
            <b/>
            <sz val="9"/>
            <color indexed="81"/>
            <rFont val="Tahoma"/>
            <family val="2"/>
          </rPr>
          <t>Jamie Smyth:</t>
        </r>
        <r>
          <rPr>
            <sz val="9"/>
            <color indexed="81"/>
            <rFont val="Tahoma"/>
            <family val="2"/>
          </rPr>
          <t xml:space="preserve">
Page 12 - Cosmetic/Aesthetic procedures</t>
        </r>
      </text>
    </comment>
    <comment ref="AL23" authorId="0" shapeId="0" xr:uid="{59BD03B5-4F35-4681-9195-AE3D19950492}">
      <text>
        <r>
          <rPr>
            <b/>
            <sz val="9"/>
            <color indexed="81"/>
            <rFont val="Tahoma"/>
            <family val="2"/>
          </rPr>
          <t>Jamie Smyth:</t>
        </r>
        <r>
          <rPr>
            <sz val="9"/>
            <color indexed="81"/>
            <rFont val="Tahoma"/>
            <family val="2"/>
          </rPr>
          <t xml:space="preserve">
Appendix 3 - Page 123-124.
AO - is this not then criteria based?</t>
        </r>
      </text>
    </comment>
    <comment ref="AO23" authorId="83" shapeId="0" xr:uid="{430853C5-1789-4DB9-8CBB-2D2E0B5914D3}">
      <text>
        <t>[Threaded comment]
Your version of Excel allows you to read this threaded comment; however, any edits to it will get removed if the file is opened in a newer version of Excel. Learn more: https://go.microsoft.com/fwlink/?linkid=870924
Comment:
    ?tick This procedure is not routinely funded.
This recommendation does not apply to patients undergoing breast reconstruction as part of treatment for breast cancer. For patients in this situation, the national guidance covering breast cancer treatment pathways shall be applied.
https://www.surreyheartlands.org/tnrf1-cosmetic-and-plastic-surgery</t>
      </text>
    </comment>
    <comment ref="C24" authorId="84" shapeId="0" xr:uid="{EB2E43CE-6F21-44F1-9A2D-D93FFF40264C}">
      <text>
        <t>[Threaded comment]
Your version of Excel allows you to read this threaded comment; however, any edits to it will get removed if the file is opened in a newer version of Excel. Learn more: https://go.microsoft.com/fwlink/?linkid=870924
Comment:
    CRITERIA BASED ACCESS: Where a breast implant has ruptured, it can be removed without prior approval as this is due to a clinical need, not a cosmetic procedure. EXCEPTIONAL FUNDING is required for removal of any contralateral, non-affected implant, or for the replacement of an implant; or where a symptomatic contracture has occurred. https://bsw.icb.nhs.uk/document/bsw-icb-cp007-breast-surgery-cosmetic-policy/ ?Either N/A or IFR</t>
      </text>
    </comment>
    <comment ref="D24" authorId="85" shapeId="0" xr:uid="{A512ABA2-9D6E-407C-9A29-5978B7C10C75}">
      <text>
        <t>[Threaded comment]
Your version of Excel allows you to read this threaded comment; however, any edits to it will get removed if the file is opened in a newer version of Excel. Learn more: https://go.microsoft.com/fwlink/?linkid=870924
Comment:
    Unable to find re revision of breast enlargement</t>
      </text>
    </comment>
    <comment ref="L24" authorId="0" shapeId="0" xr:uid="{32E6D5D7-9C17-4270-B0AD-E2454EBE614C}">
      <text>
        <r>
          <rPr>
            <b/>
            <sz val="9"/>
            <color indexed="81"/>
            <rFont val="Tahoma"/>
            <family val="2"/>
          </rPr>
          <t>Jamie Smyth:</t>
        </r>
        <r>
          <rPr>
            <sz val="9"/>
            <color indexed="81"/>
            <rFont val="Tahoma"/>
            <family val="2"/>
          </rPr>
          <t xml:space="preserve">
Treatments Designed to Improve Aesthetic Appearance Policy - Revision of breast augmentation</t>
        </r>
      </text>
    </comment>
    <comment ref="N24" authorId="86" shapeId="0" xr:uid="{B3DAAA8A-9E58-4FF8-A3B5-FFA302CD941C}">
      <text>
        <t>[Threaded comment]
Your version of Excel allows you to read this threaded comment; however, any edits to it will get removed if the file is opened in a newer version of Excel. Learn more: https://go.microsoft.com/fwlink/?linkid=870924
Comment:
    ?The revision of treatments originally carried out outside of the NHS is not routinely commissioned - Cosmetic treatments policy</t>
      </text>
    </comment>
    <comment ref="P24" authorId="0" shapeId="0" xr:uid="{8FEB2690-6B7E-4A5F-BB2E-B139BB627957}">
      <text>
        <r>
          <rPr>
            <b/>
            <sz val="9"/>
            <color indexed="81"/>
            <rFont val="Tahoma"/>
            <family val="2"/>
          </rPr>
          <t>Jamie Smyth:</t>
        </r>
        <r>
          <rPr>
            <sz val="9"/>
            <color indexed="81"/>
            <rFont val="Tahoma"/>
            <family val="2"/>
          </rPr>
          <t xml:space="preserve">
Breast prosthesis removal policy
BOBFPC114 Breast prosthesis removal v1.0</t>
        </r>
      </text>
    </comment>
    <comment ref="Q24" authorId="0" shapeId="0" xr:uid="{42055722-0A77-4F13-A4E9-6E7D3CEE6DF5}">
      <text>
        <r>
          <rPr>
            <b/>
            <sz val="9"/>
            <color indexed="81"/>
            <rFont val="Tahoma"/>
            <family val="2"/>
          </rPr>
          <t>Jamie Smyth:</t>
        </r>
        <r>
          <rPr>
            <sz val="9"/>
            <color indexed="81"/>
            <rFont val="Tahoma"/>
            <family val="2"/>
          </rPr>
          <t xml:space="preserve">
Removal and replacement of breast implants - Criteria based access</t>
        </r>
      </text>
    </comment>
    <comment ref="W24" authorId="0" shapeId="0" xr:uid="{7D72FA70-B46C-42C3-B7BB-6A63437ACFA8}">
      <text>
        <r>
          <rPr>
            <b/>
            <sz val="9"/>
            <color indexed="81"/>
            <rFont val="Tahoma"/>
            <family val="2"/>
          </rPr>
          <t>Jamie Smyth:</t>
        </r>
        <r>
          <rPr>
            <sz val="9"/>
            <color indexed="81"/>
            <rFont val="Tahoma"/>
            <family val="2"/>
          </rPr>
          <t xml:space="preserve">
17.8 - Breast procedures - Breast implant removal and replacement</t>
        </r>
      </text>
    </comment>
    <comment ref="Z24" authorId="87" shapeId="0" xr:uid="{5D4B6CD4-7F27-4D56-B91D-B38993141C60}">
      <text>
        <t>[Threaded comment]
Your version of Excel allows you to read this threaded comment; however, any edits to it will get removed if the file is opened in a newer version of Excel. Learn more: https://go.microsoft.com/fwlink/?linkid=870924
Comment:
    IFR https://lincolnshire.icb.nhs.uk/~documents/icb-publications/our-policies-and-procedures/clinical-governance/cg-003-prior-approval-policy/?layout=file</t>
      </text>
    </comment>
    <comment ref="AA24" authorId="0" shapeId="0" xr:uid="{63417496-930B-44C8-ABDD-E7D33F89608B}">
      <text>
        <r>
          <rPr>
            <b/>
            <sz val="9"/>
            <color indexed="81"/>
            <rFont val="Tahoma"/>
            <family val="2"/>
          </rPr>
          <t>Jamie Smyth:</t>
        </r>
        <r>
          <rPr>
            <sz val="9"/>
            <color indexed="81"/>
            <rFont val="Tahoma"/>
            <family val="2"/>
          </rPr>
          <t xml:space="preserve">
https://www.midandsouthessex.ics.nhs.uk/publications/109-breast-implants/</t>
        </r>
      </text>
    </comment>
    <comment ref="AB24" authorId="0" shapeId="0" xr:uid="{0944D477-1820-4D6E-BF57-92F996D7DA19}">
      <text>
        <r>
          <rPr>
            <b/>
            <sz val="9"/>
            <color indexed="81"/>
            <rFont val="Tahoma"/>
            <family val="2"/>
          </rPr>
          <t>Jamie Smyth:</t>
        </r>
        <r>
          <rPr>
            <sz val="9"/>
            <color indexed="81"/>
            <rFont val="Tahoma"/>
            <family val="2"/>
          </rPr>
          <t xml:space="preserve">
https://nwknowledgenow.nhs.uk/content/breast-surgery-aesthetic-cosmetic-patients-aged-over-18-years/</t>
        </r>
      </text>
    </comment>
    <comment ref="AK24" authorId="0" shapeId="0" xr:uid="{77E2F8DA-05C2-428C-988A-BA55FBDEA194}">
      <text>
        <r>
          <rPr>
            <b/>
            <sz val="9"/>
            <color indexed="81"/>
            <rFont val="Tahoma"/>
            <family val="2"/>
          </rPr>
          <t>Jamie Smyth:</t>
        </r>
        <r>
          <rPr>
            <sz val="9"/>
            <color indexed="81"/>
            <rFont val="Tahoma"/>
            <family val="2"/>
          </rPr>
          <t xml:space="preserve">
r ruptured breast implants will be removed on the NHS if they are considered to be of danger to the patient.</t>
        </r>
      </text>
    </comment>
    <comment ref="AL24" authorId="0" shapeId="0" xr:uid="{D9D20D9F-1C47-44CA-A973-A9B701B5EBCE}">
      <text>
        <r>
          <rPr>
            <b/>
            <sz val="9"/>
            <color indexed="81"/>
            <rFont val="Tahoma"/>
            <family val="2"/>
          </rPr>
          <t>Jamie Smyth:</t>
        </r>
        <r>
          <rPr>
            <sz val="9"/>
            <color indexed="81"/>
            <rFont val="Tahoma"/>
            <family val="2"/>
          </rPr>
          <t xml:space="preserve">
Appendix 3 - Page 123-124.
AO: should be a tick? "Revision surgery will only be commissioned for implant rupture, or for other physical symptoms, for example
capsule contracture associated with pain, and not for aesthetic indications. "</t>
        </r>
      </text>
    </comment>
    <comment ref="E25" authorId="88" shapeId="0" xr:uid="{C7390AF9-EAD7-424C-B4FD-E6CA1EAFD458}">
      <text>
        <t>[Threaded comment]
Your version of Excel allows you to read this threaded comment; however, any edits to it will get removed if the file is opened in a newer version of Excel. Learn more: https://go.microsoft.com/fwlink/?linkid=870924
Comment:
    Restricted for cancer patients, ifr for non-cancer https://www.birminghamsolihull.icb.nhs.uk/application/files/8916/4864/1051/Policy_for_cosmetic_surgery_mastopexy.pdf</t>
      </text>
    </comment>
    <comment ref="L25" authorId="89" shapeId="0" xr:uid="{839FB041-5231-4075-8647-D438C982F9B1}">
      <text>
        <t>[Threaded comment]
Your version of Excel allows you to read this threaded comment; however, any edits to it will get removed if the file is opened in a newer version of Excel. Learn more: https://go.microsoft.com/fwlink/?linkid=870924
Comment:
    IFR https://www.happyhealthylives.uk/clientfiles/files/document_library/Treatments%20Designed%20to%20Improve%20Aesthetic%20Appearance%20Policy.pdf</t>
      </text>
    </comment>
    <comment ref="V25" authorId="90" shapeId="0" xr:uid="{D5A77555-4C67-4E07-87FA-E4CE82F48F89}">
      <text>
        <t>[Threaded comment]
Your version of Excel allows you to read this threaded comment; however, any edits to it will get removed if the file is opened in a newer version of Excel. Learn more: https://go.microsoft.com/fwlink/?linkid=870924
Comment:
    Unable to find ref</t>
      </text>
    </comment>
    <comment ref="AA25" authorId="91" shapeId="0" xr:uid="{1563DE85-073E-4D97-A2E3-5DCF4DC1FCC3}">
      <text>
        <t>[Threaded comment]
Your version of Excel allows you to read this threaded comment; however, any edits to it will get removed if the file is opened in a newer version of Excel. Learn more: https://go.microsoft.com/fwlink/?linkid=870924
Comment:
    Unable to find ref https://www.midandsouthessex.ics.nhs.uk/publications/?publications_category=service-restriction-policy-srp&amp;page_no=3</t>
      </text>
    </comment>
    <comment ref="AC25" authorId="92" shapeId="0" xr:uid="{CDAA0F77-E987-4B6B-A6C8-60D7E8DC9B91}">
      <text>
        <t>[Threaded comment]
Your version of Excel allows you to read this threaded comment; however, any edits to it will get removed if the file is opened in a newer version of Excel. Learn more: https://go.microsoft.com/fwlink/?linkid=870924
Comment:
    IFR unless “Mastopexy (bilateral or unilateral) is not routinely funded by NCL ICB unless the patient is undergoing reconstruction following surgery to treat or prevent breast cancer. ” - therefore tick https://nclhealthandcare.org.uk/wp-content/uploads/2024/02/NCL-EBICS-Policy-v9.2-2.pdf</t>
      </text>
    </comment>
    <comment ref="AH25" authorId="0" shapeId="0" xr:uid="{40BA9D7A-7A90-494D-BA52-F340A19ADE40}">
      <text>
        <r>
          <rPr>
            <b/>
            <sz val="9"/>
            <color indexed="81"/>
            <rFont val="Tahoma"/>
            <family val="2"/>
          </rPr>
          <t>Jamie Smyth:</t>
        </r>
        <r>
          <rPr>
            <sz val="9"/>
            <color indexed="81"/>
            <rFont val="Tahoma"/>
            <family val="2"/>
          </rPr>
          <t xml:space="preserve">
Mastopexy is not funded as a standalone procedure. </t>
        </r>
      </text>
    </comment>
    <comment ref="AI25" authorId="0" shapeId="0" xr:uid="{B4F62488-08AD-4FCF-BD70-1C0D86D9AB1A}">
      <text>
        <r>
          <rPr>
            <b/>
            <sz val="9"/>
            <color indexed="81"/>
            <rFont val="Tahoma"/>
            <family val="2"/>
          </rPr>
          <t>Jamie Smyth:</t>
        </r>
        <r>
          <rPr>
            <sz val="9"/>
            <color indexed="81"/>
            <rFont val="Tahoma"/>
            <family val="2"/>
          </rPr>
          <t xml:space="preserve">
Page 12 - Cosmetic/Aesthetic procedures</t>
        </r>
      </text>
    </comment>
    <comment ref="AL25" authorId="0" shapeId="0" xr:uid="{7096C0F6-BA3C-4E0D-A82C-BA4D684EE4A4}">
      <text>
        <r>
          <rPr>
            <b/>
            <sz val="9"/>
            <color indexed="81"/>
            <rFont val="Tahoma"/>
            <family val="2"/>
          </rPr>
          <t>Jamie Smyth:</t>
        </r>
        <r>
          <rPr>
            <sz val="9"/>
            <color indexed="81"/>
            <rFont val="Tahoma"/>
            <family val="2"/>
          </rPr>
          <t xml:space="preserve">
Appendix 3 - Page 123-124.
AO: ?criteria then? Mastopexy will not be routinely commissioned by the NHS for cosmetic reasons.
For example post lactation or age related ptosis but may be included as part of the treatment to correct breast
asymmetry.</t>
        </r>
      </text>
    </comment>
    <comment ref="AP25" authorId="0" shapeId="0" xr:uid="{AA00666B-F46F-4671-ACBA-3149AD32D258}">
      <text>
        <r>
          <rPr>
            <b/>
            <sz val="9"/>
            <color indexed="81"/>
            <rFont val="Tahoma"/>
            <family val="2"/>
          </rPr>
          <t>Jamie Smyth:</t>
        </r>
        <r>
          <rPr>
            <sz val="9"/>
            <color indexed="81"/>
            <rFont val="Tahoma"/>
            <family val="2"/>
          </rPr>
          <t xml:space="preserve">
Page 10</t>
        </r>
      </text>
    </comment>
    <comment ref="L26" authorId="0" shapeId="0" xr:uid="{36A6EA3B-6DCD-443E-BDC4-AE80BFDF7E02}">
      <text>
        <r>
          <rPr>
            <b/>
            <sz val="9"/>
            <color indexed="81"/>
            <rFont val="Tahoma"/>
            <family val="2"/>
          </rPr>
          <t>Jamie Smyth:</t>
        </r>
        <r>
          <rPr>
            <sz val="9"/>
            <color indexed="81"/>
            <rFont val="Tahoma"/>
            <family val="2"/>
          </rPr>
          <t xml:space="preserve">
Treatments Designed to Improve Aesthetic Appearance Policy - Female breast reduction (reduction mammoplasty)</t>
        </r>
      </text>
    </comment>
    <comment ref="R26" authorId="0" shapeId="0" xr:uid="{555295BD-7888-44E6-B84B-0D3BD81EEE51}">
      <text>
        <r>
          <rPr>
            <b/>
            <sz val="9"/>
            <color indexed="81"/>
            <rFont val="Tahoma"/>
            <family val="2"/>
          </rPr>
          <t>Jamie Smyth:</t>
        </r>
        <r>
          <rPr>
            <sz val="9"/>
            <color indexed="81"/>
            <rFont val="Tahoma"/>
            <family val="2"/>
          </rPr>
          <t xml:space="preserve">
Breast reduction surgery is not routinely commissioned - Breast Surgery (Aesthetic) Commissioning Statement</t>
        </r>
      </text>
    </comment>
    <comment ref="Z26" authorId="93" shapeId="0" xr:uid="{3CBF8CD4-EBAE-495D-93E9-34A8584D9817}">
      <text>
        <t>[Threaded comment]
Your version of Excel allows you to read this threaded comment; however, any edits to it will get removed if the file is opened in a newer version of Excel. Learn more: https://go.microsoft.com/fwlink/?linkid=870924
Comment:
    IFR https://lincolnshire.icb.nhs.uk/~documents/icb-publications/our-policies-and-procedures/clinical-governance/cg-003-prior-approval-policy/?layout=file</t>
      </text>
    </comment>
    <comment ref="AI26" authorId="0" shapeId="0" xr:uid="{3F8DF71F-38A4-41B1-9F39-A07F0A86A436}">
      <text>
        <r>
          <rPr>
            <b/>
            <sz val="9"/>
            <color indexed="81"/>
            <rFont val="Tahoma"/>
            <family val="2"/>
          </rPr>
          <t>Jamie Smyth:</t>
        </r>
        <r>
          <rPr>
            <sz val="9"/>
            <color indexed="81"/>
            <rFont val="Tahoma"/>
            <family val="2"/>
          </rPr>
          <t xml:space="preserve">
Page 12 - Cosmetic/Aesthetic procedures&gt;
AO: TICK -  p12 Exceptions to the above:
• To restore normal or near normal function or appearance as a direct consequence of trauma,
burns, destructive surgery, cancer treatment or a recognised congenital malformation. These
cases are eligible for NHS funding as part of the treatment plan under routine commissioning
arrangements and would be subject to a planned course of treatment within an agreed
timescale, which may be long term in some cases. However, further revision for cosmetic
improvement will not be funded.’
• Breast reduction surgery related to MSK/back problems.
Sounds like exceptionality criteria</t>
        </r>
      </text>
    </comment>
    <comment ref="AL26" authorId="94" shapeId="0" xr:uid="{AF888007-26CC-409F-968A-DCAE5D5C7211}">
      <text>
        <t>[Threaded comment]
Your version of Excel allows you to read this threaded comment; however, any edits to it will get removed if the file is opened in a newer version of Excel. Learn more: https://go.microsoft.com/fwlink/?linkid=870924
Comment:
    Criteria : “Breast reduction will not routinely be commissioned by the NHS for cosmetic reasons. Breast reduction may rarely be considered on an exceptional basis, for example where the patient: • has a breast measurement of cup size G or larger and • has a BMI in the range 18.5 - 27 or and • is 19 years of age or over and • has significant musculo-skeletal pain causing functional impairment which in the opinion of the referrer is likely to be corrected or significantly improved by surgery and • has tried and failed with all other advice an ”</t>
      </text>
    </comment>
    <comment ref="H27" authorId="95" shapeId="0" xr:uid="{D567F99C-479C-4FEC-905A-D145ECB4CA7E}">
      <text>
        <t>[Threaded comment]
Your version of Excel allows you to read this threaded comment; however, any edits to it will get removed if the file is opened in a newer version of Excel. Learn more: https://go.microsoft.com/fwlink/?linkid=870924
Comment:
    Men not in policy https://www.bucksoxonberksw.icb.nhs.uk/media/4386/bobfpc112-breast-reduction-surgery.pdf therefore NA</t>
      </text>
    </comment>
    <comment ref="J27" authorId="96" shapeId="0" xr:uid="{3D3A6BCB-3633-444D-A5B5-E8BE28098384}">
      <text>
        <t>[Threaded comment]
Your version of Excel allows you to read this threaded comment; however, any edits to it will get removed if the file is opened in a newer version of Excel. Learn more: https://go.microsoft.com/fwlink/?linkid=870924
Comment:
    IFR https://www.cheshireandmerseyside.nhs.uk/media/mtekvvhc/pol-clin113-gynaecomastia-final-v03.pdf</t>
      </text>
    </comment>
    <comment ref="N27" authorId="0" shapeId="0" xr:uid="{F348A338-4DBF-4AAE-8880-DB3C6BE2686E}">
      <text>
        <r>
          <rPr>
            <b/>
            <sz val="9"/>
            <color indexed="81"/>
            <rFont val="Tahoma"/>
            <family val="2"/>
          </rPr>
          <t>Jamie Smyth:</t>
        </r>
        <r>
          <rPr>
            <sz val="9"/>
            <color indexed="81"/>
            <rFont val="Tahoma"/>
            <family val="2"/>
          </rPr>
          <t xml:space="preserve">
Comestic Policy - Appendix 1</t>
        </r>
      </text>
    </comment>
    <comment ref="Q27" authorId="97" shapeId="0" xr:uid="{D3884141-00EF-41AA-8EC3-927311AF5F58}">
      <text>
        <t>[Threaded comment]
Your version of Excel allows you to read this threaded comment; however, any edits to it will get removed if the file is opened in a newer version of Excel. Learn more: https://go.microsoft.com/fwlink/?linkid=870924
Comment:
    IFR https://www.nhsglos.nhs.uk/wp-content/uploads/2025/03/Breast-Procedures-1.pdf</t>
      </text>
    </comment>
    <comment ref="U27" authorId="0" shapeId="0" xr:uid="{07BAD85A-7BFF-4907-96A8-2ECB51BF0E63}">
      <text>
        <r>
          <rPr>
            <b/>
            <sz val="9"/>
            <color indexed="81"/>
            <rFont val="Tahoma"/>
            <family val="2"/>
          </rPr>
          <t>Jamie Smyth:</t>
        </r>
        <r>
          <rPr>
            <sz val="9"/>
            <color indexed="81"/>
            <rFont val="Tahoma"/>
            <family val="2"/>
          </rPr>
          <t xml:space="preserve">
https://www.hweclinicalguidance.nhs.uk/clinical-policies/gynaecomastia-surgery/</t>
        </r>
      </text>
    </comment>
    <comment ref="Z27" authorId="98" shapeId="0" xr:uid="{C99494FE-1AE2-410A-ACD3-D69AE640535C}">
      <text>
        <t xml:space="preserve">[Threaded comment]
Your version of Excel allows you to read this threaded comment; however, any edits to it will get removed if the file is opened in a newer version of Excel. Learn more: https://go.microsoft.com/fwlink/?linkid=870924
Comment:
    IFR - https://lincolnshire.icb.nhs.uk/~documents/icb-publications/our-policies-and-procedures/clinical-governance/cg-003-prior-approval-policy/?layout=fileGynaecomastia Surgery for Gynaecomastia to improve appearance alone is not routinely commissioned. This is because surgery for reduction of male breast tissue is deemed to be cosmetic. We do not routinely fund for idiopathic gynaecomastia in men. Where gynaecomastia is caused by medical treatment such as prostate cancer, an IFR may be considered where BMI is </t>
      </text>
    </comment>
    <comment ref="AC27" authorId="99" shapeId="0" xr:uid="{8D7A9539-8806-48D6-AD94-FE4E03C507A6}">
      <text>
        <t>[Threaded comment]
Your version of Excel allows you to read this threaded comment; however, any edits to it will get removed if the file is opened in a newer version of Excel. Learn more: https://go.microsoft.com/fwlink/?linkid=870924
Comment:
    Tick? “Gynaecomastia is not routinely funded by NCL ICB. This policy does not apply to surgery for gynaecomastia caused by medical treatments (e.g. treatments for prostate cancer). ”</t>
      </text>
    </comment>
    <comment ref="AF27" authorId="0" shapeId="0" xr:uid="{03126C12-F309-4C07-B215-7D92D74911CE}">
      <text>
        <r>
          <rPr>
            <b/>
            <sz val="9"/>
            <color indexed="81"/>
            <rFont val="Tahoma"/>
            <family val="2"/>
          </rPr>
          <t>Jamie Smyth:</t>
        </r>
        <r>
          <rPr>
            <sz val="9"/>
            <color indexed="81"/>
            <rFont val="Tahoma"/>
            <family val="2"/>
          </rPr>
          <t xml:space="preserve">
Cosmetic Treatment Policy v7.pdf</t>
        </r>
      </text>
    </comment>
    <comment ref="AI27" authorId="0" shapeId="0" xr:uid="{BF2DE7C2-9B9C-497A-9267-F35D9F34D50E}">
      <text>
        <r>
          <rPr>
            <b/>
            <sz val="9"/>
            <color indexed="81"/>
            <rFont val="Tahoma"/>
            <family val="2"/>
          </rPr>
          <t>Jamie Smyth:</t>
        </r>
        <r>
          <rPr>
            <sz val="9"/>
            <color indexed="81"/>
            <rFont val="Tahoma"/>
            <family val="2"/>
          </rPr>
          <t xml:space="preserve">
Page 12 - Cosmetic/Aesthetic procedures</t>
        </r>
      </text>
    </comment>
    <comment ref="AL27" authorId="100" shapeId="0" xr:uid="{597D7828-2D8B-49E5-AE1E-77FC2FE17B30}">
      <text>
        <t xml:space="preserve">[Threaded comment]
Your version of Excel allows you to read this threaded comment; however, any edits to it will get removed if the file is opened in a newer version of Excel. Learn more: https://go.microsoft.com/fwlink/?linkid=870924
Comment:
    Criteria? Surgery may be considered on an exceptional basis, for example where the patient: • has more than 100g of sub areolar gland and ductal tissue (not fat) and • has a BMI in the range 18.5 - 27 or and • has been screened prior to referral to exclude endocrine and drug related causes (if drugs have been a factor then a period of one year since last use should have elapsed) and • has completed puberty - surgery is not routinely commissioned below the age of 19 years and • has been monitored for at least 1 year to allow for natural resolution if aged 25 or younger </t>
      </text>
    </comment>
    <comment ref="F28" authorId="0" shapeId="0" xr:uid="{682AEF09-36DD-4FA8-9EE6-DAE08FB5A0A6}">
      <text>
        <r>
          <rPr>
            <b/>
            <sz val="9"/>
            <color indexed="81"/>
            <rFont val="Tahoma"/>
            <family val="2"/>
          </rPr>
          <t>Jamie Smyth:</t>
        </r>
        <r>
          <rPr>
            <sz val="9"/>
            <color indexed="81"/>
            <rFont val="Tahoma"/>
            <family val="2"/>
          </rPr>
          <t xml:space="preserve">
Covered under Tonsillectomy policy</t>
        </r>
      </text>
    </comment>
    <comment ref="H29" authorId="0" shapeId="0" xr:uid="{441E941E-F1F6-4B33-A782-E0763FE53C1E}">
      <text>
        <r>
          <rPr>
            <b/>
            <sz val="9"/>
            <color indexed="81"/>
            <rFont val="Tahoma"/>
            <family val="2"/>
          </rPr>
          <t>Jamie Smyth:</t>
        </r>
        <r>
          <rPr>
            <sz val="9"/>
            <color indexed="81"/>
            <rFont val="Tahoma"/>
            <family val="2"/>
          </rPr>
          <t xml:space="preserve">
Treatment of Chalazia policy</t>
        </r>
      </text>
    </comment>
    <comment ref="M29" authorId="0" shapeId="0" xr:uid="{701E2B15-3E52-4D19-B871-558006E545CB}">
      <text>
        <r>
          <rPr>
            <b/>
            <sz val="9"/>
            <color indexed="81"/>
            <rFont val="Tahoma"/>
            <family val="2"/>
          </rPr>
          <t>Jamie Smyth:</t>
        </r>
        <r>
          <rPr>
            <sz val="9"/>
            <color indexed="81"/>
            <rFont val="Tahoma"/>
            <family val="2"/>
          </rPr>
          <t xml:space="preserve">
Also referred to as Meibomian cysts</t>
        </r>
      </text>
    </comment>
    <comment ref="N29" authorId="0" shapeId="0" xr:uid="{00A18A61-78DC-4FF5-9761-89E8E13BEAB8}">
      <text>
        <r>
          <rPr>
            <b/>
            <sz val="9"/>
            <color indexed="81"/>
            <rFont val="Tahoma"/>
            <family val="2"/>
          </rPr>
          <t>Jamie Smyth:</t>
        </r>
        <r>
          <rPr>
            <sz val="9"/>
            <color indexed="81"/>
            <rFont val="Tahoma"/>
            <family val="2"/>
          </rPr>
          <t xml:space="preserve">
The routine referral and
specialist management of
meibomian cysts (chalazia) policy</t>
        </r>
      </text>
    </comment>
    <comment ref="P29" authorId="0" shapeId="0" xr:uid="{D74B29A0-A6EF-4798-9572-97AA5960634E}">
      <text>
        <r>
          <rPr>
            <b/>
            <sz val="9"/>
            <color indexed="81"/>
            <rFont val="Tahoma"/>
            <family val="2"/>
          </rPr>
          <t>Jamie Smyth:</t>
        </r>
        <r>
          <rPr>
            <sz val="9"/>
            <color indexed="81"/>
            <rFont val="Tahoma"/>
            <family val="2"/>
          </rPr>
          <t xml:space="preserve">
Treatment of chalazia policy
BOBFPC 095 - Chalazia v1.0</t>
        </r>
      </text>
    </comment>
    <comment ref="Q29" authorId="0" shapeId="0" xr:uid="{67353C59-04C5-4C4C-906F-B6E1B8E79E33}">
      <text>
        <r>
          <rPr>
            <b/>
            <sz val="9"/>
            <color indexed="81"/>
            <rFont val="Tahoma"/>
            <family val="2"/>
          </rPr>
          <t>Jamie Smyth:</t>
        </r>
        <r>
          <rPr>
            <sz val="9"/>
            <color indexed="81"/>
            <rFont val="Tahoma"/>
            <family val="2"/>
          </rPr>
          <t xml:space="preserve">
Can't find mention of chalazia policy</t>
        </r>
      </text>
    </comment>
    <comment ref="AA29" authorId="0" shapeId="0" xr:uid="{C13F5105-24F3-4639-ACE4-34B96CE32B7A}">
      <text>
        <r>
          <rPr>
            <b/>
            <sz val="9"/>
            <color indexed="81"/>
            <rFont val="Tahoma"/>
            <family val="2"/>
          </rPr>
          <t>Jamie Smyth:</t>
        </r>
        <r>
          <rPr>
            <sz val="9"/>
            <color indexed="81"/>
            <rFont val="Tahoma"/>
            <family val="2"/>
          </rPr>
          <t xml:space="preserve">
https://www.midandsouthessex.ics.nhs.uk/publications/srp-075-oculoplastic-procedures/</t>
        </r>
      </text>
    </comment>
    <comment ref="AG29" authorId="0" shapeId="0" xr:uid="{615A7F02-6612-435B-9324-9F3A24331584}">
      <text>
        <r>
          <rPr>
            <b/>
            <sz val="9"/>
            <color indexed="81"/>
            <rFont val="Tahoma"/>
            <family val="2"/>
          </rPr>
          <t>Jamie Smyth:</t>
        </r>
        <r>
          <rPr>
            <sz val="9"/>
            <color indexed="81"/>
            <rFont val="Tahoma"/>
            <family val="2"/>
          </rPr>
          <t xml:space="preserve">
https://www.icnorthamptonshire.org.uk/documents?media_item=21596&amp;media_type=10#file-viewer</t>
        </r>
      </text>
    </comment>
    <comment ref="E31" authorId="101" shapeId="0" xr:uid="{6CA994FF-15AD-4432-82F0-E59513FC0ED9}">
      <text>
        <t>[Threaded comment]
Your version of Excel allows you to read this threaded comment; however, any edits to it will get removed if the file is opened in a newer version of Excel. Learn more: https://go.microsoft.com/fwlink/?linkid=870924
Comment:
    In patient care or therapy in a residential setting are not routinely commissioned for the treatment of CFS/ME due to the lack of clinical evidence to support this intervention. https://www.birminghamsolihull.icb.nhs.uk/health-information-and-advice/policies/head-neck-and-neurological</t>
      </text>
    </comment>
    <comment ref="K31" authorId="102" shapeId="0" xr:uid="{A57C454A-815A-49F7-85E6-D9907BFE8998}">
      <text>
        <t>[Threaded comment]
Your version of Excel allows you to read this threaded comment; however, any edits to it will get removed if the file is opened in a newer version of Excel. Learn more: https://go.microsoft.com/fwlink/?linkid=870924
Comment:
    Criteria based? https://docs.cios.icb.nhs.uk/DocumentsLibrary/NHSCornwallAndIslesOfScilly/Services/IndividualFundingRequests/CommissioningPolicies.pdf</t>
      </text>
    </comment>
    <comment ref="T31" authorId="103" shapeId="0" xr:uid="{272BA10F-55C4-46F9-A777-3E26CD79DEA3}">
      <text>
        <t>[Threaded comment]
Your version of Excel allows you to read this threaded comment; however, any edits to it will get removed if the file is opened in a newer version of Excel. Learn more: https://go.microsoft.com/fwlink/?linkid=870924
Comment:
    Unable to find ref</t>
      </text>
    </comment>
    <comment ref="AA31" authorId="104" shapeId="0" xr:uid="{B675E544-E059-4CC9-B0AC-1874EA9105EC}">
      <text>
        <t>[Threaded comment]
Your version of Excel allows you to read this threaded comment; however, any edits to it will get removed if the file is opened in a newer version of Excel. Learn more: https://go.microsoft.com/fwlink/?linkid=870924
Comment:
    Unable to find ref to residential/inpatient https://www.midandsouthessex.ics.nhs.uk/publications/srp-034-myalgic-encephalomyelitis-chronic-fatigue-syndrome/</t>
      </text>
    </comment>
    <comment ref="F32" authorId="0" shapeId="0" xr:uid="{2B2030F2-19C6-4D3D-B7C9-B6F9EB58FB27}">
      <text>
        <r>
          <rPr>
            <b/>
            <sz val="9"/>
            <color indexed="81"/>
            <rFont val="Tahoma"/>
            <family val="2"/>
          </rPr>
          <t>Jamie Smyth:</t>
        </r>
        <r>
          <rPr>
            <sz val="9"/>
            <color indexed="81"/>
            <rFont val="Tahoma"/>
            <family val="2"/>
          </rPr>
          <t xml:space="preserve">
Circumcision policy</t>
        </r>
      </text>
    </comment>
    <comment ref="G32" authorId="0" shapeId="0" xr:uid="{1199A668-7A9C-4E65-B4BC-6CC8A5E90940}">
      <text>
        <r>
          <rPr>
            <b/>
            <sz val="9"/>
            <color indexed="81"/>
            <rFont val="Tahoma"/>
            <family val="2"/>
          </rPr>
          <t>Jamie Smyth:</t>
        </r>
        <r>
          <rPr>
            <sz val="9"/>
            <color indexed="81"/>
            <rFont val="Tahoma"/>
            <family val="2"/>
          </rPr>
          <t xml:space="preserve">
Penile Conditions – Surgical Opinion and Treatment including Circumcision policies</t>
        </r>
      </text>
    </comment>
    <comment ref="U32" authorId="105" shapeId="0" xr:uid="{CBAF24D0-5DEC-4BC6-87BE-49A422857F5A}">
      <text>
        <t>[Threaded comment]
Your version of Excel allows you to read this threaded comment; however, any edits to it will get removed if the file is opened in a newer version of Excel. Learn more: https://go.microsoft.com/fwlink/?linkid=870924
Comment:
    EBI? https://www.hweclinicalguidance.nhs.uk/all-clinical-areas-documents/search-results/penile-circumcision/</t>
      </text>
    </comment>
    <comment ref="AA32" authorId="0" shapeId="0" xr:uid="{C4645A38-9500-4688-8128-A7D7B002165F}">
      <text>
        <r>
          <rPr>
            <b/>
            <sz val="9"/>
            <color indexed="81"/>
            <rFont val="Tahoma"/>
            <family val="2"/>
          </rPr>
          <t>Jamie Smyth:</t>
        </r>
        <r>
          <rPr>
            <sz val="9"/>
            <color indexed="81"/>
            <rFont val="Tahoma"/>
            <family val="2"/>
          </rPr>
          <t xml:space="preserve">
https://www.midandsouthessex.ics.nhs.uk/publications/srp-035-circumcision/</t>
        </r>
      </text>
    </comment>
    <comment ref="AB32" authorId="0" shapeId="0" xr:uid="{FA8EFBBF-6E20-4C92-88AD-59372E589092}">
      <text>
        <r>
          <rPr>
            <b/>
            <sz val="9"/>
            <color indexed="81"/>
            <rFont val="Tahoma"/>
            <family val="2"/>
          </rPr>
          <t>Jamie Smyth:</t>
        </r>
        <r>
          <rPr>
            <sz val="9"/>
            <color indexed="81"/>
            <rFont val="Tahoma"/>
            <family val="2"/>
          </rPr>
          <t xml:space="preserve">
https://nwknowledgenow.nhs.uk/content/penile-circumcision/</t>
        </r>
      </text>
    </comment>
    <comment ref="AP32" authorId="0" shapeId="0" xr:uid="{7AD79884-9694-4EF5-82E6-841E7B82E6FC}">
      <text>
        <r>
          <rPr>
            <b/>
            <sz val="9"/>
            <color indexed="81"/>
            <rFont val="Tahoma"/>
            <family val="2"/>
          </rPr>
          <t>Jamie Smyth:</t>
        </r>
        <r>
          <rPr>
            <sz val="9"/>
            <color indexed="81"/>
            <rFont val="Tahoma"/>
            <family val="2"/>
          </rPr>
          <t xml:space="preserve">
11. Circumcision (T1, 4) Page 25</t>
        </r>
      </text>
    </comment>
    <comment ref="I33" authorId="106" shapeId="0" xr:uid="{DD4B57BB-C7DE-427F-91E4-341B671387ED}">
      <text>
        <t>[Threaded comment]
Your version of Excel allows you to read this threaded comment; however, any edits to it will get removed if the file is opened in a newer version of Excel. Learn more: https://go.microsoft.com/fwlink/?linkid=870924
Comment:
    ? Same as coloured lenses. https://www.cpics.org.uk/download.cfm?doc=docm93jijm4n1143.pdf&amp;ver=2069 IFR.</t>
      </text>
    </comment>
    <comment ref="G34" authorId="0" shapeId="0" xr:uid="{4E9C8EEB-48D0-4547-9B42-188878BB3964}">
      <text>
        <r>
          <rPr>
            <b/>
            <sz val="9"/>
            <color indexed="81"/>
            <rFont val="Tahoma"/>
            <family val="2"/>
          </rPr>
          <t>Jamie Smyth:</t>
        </r>
        <r>
          <rPr>
            <sz val="9"/>
            <color indexed="81"/>
            <rFont val="Tahoma"/>
            <family val="2"/>
          </rPr>
          <t xml:space="preserve">
Variable - Homeopathy is IFR, while acupuncture is criteria based</t>
        </r>
      </text>
    </comment>
    <comment ref="I34" authorId="0" shapeId="0" xr:uid="{C3DFBBBC-85E7-47EC-ACE1-8C62E9274559}">
      <text>
        <r>
          <rPr>
            <b/>
            <sz val="9"/>
            <color indexed="81"/>
            <rFont val="Tahoma"/>
            <family val="2"/>
          </rPr>
          <t>Jamie Smyth:</t>
        </r>
        <r>
          <rPr>
            <sz val="9"/>
            <color indexed="81"/>
            <rFont val="Tahoma"/>
            <family val="2"/>
          </rPr>
          <t xml:space="preserve">
Complementary and Alternative Therapies Policy</t>
        </r>
      </text>
    </comment>
    <comment ref="J34" authorId="0" shapeId="0" xr:uid="{852F48BA-932E-41D6-9AE2-CD21AC01D9FA}">
      <text>
        <r>
          <rPr>
            <b/>
            <sz val="9"/>
            <color indexed="81"/>
            <rFont val="Tahoma"/>
            <family val="2"/>
          </rPr>
          <t>Jamie Smyth:</t>
        </r>
        <r>
          <rPr>
            <sz val="9"/>
            <color indexed="81"/>
            <rFont val="Tahoma"/>
            <family val="2"/>
          </rPr>
          <t xml:space="preserve">
Only those supported by NICE are routinely commissioned. AO: should it not be a tick then? https://www.cheshireandmerseyside.nhs.uk/media/0j0jxfuk/pol-clin067-complementary-v1-final.pdf</t>
        </r>
      </text>
    </comment>
    <comment ref="M34" authorId="107" shapeId="0" xr:uid="{B0A438CB-A213-44DB-A05F-80EFB107936C}">
      <text>
        <t>[Threaded comment]
Your version of Excel allows you to read this threaded comment; however, any edits to it will get removed if the file is opened in a newer version of Excel. Learn more: https://go.microsoft.com/fwlink/?linkid=870924
Comment:
    acupuncture</t>
      </text>
    </comment>
    <comment ref="R34" authorId="108" shapeId="0" xr:uid="{FBCDE3AB-F606-47E6-ABF7-F97BD5598A41}">
      <text>
        <t>[Threaded comment]
Your version of Excel allows you to read this threaded comment; however, any edits to it will get removed if the file is opened in a newer version of Excel. Learn more: https://go.microsoft.com/fwlink/?linkid=870924
Comment:
    Complementary and alternative therapies are not commissioned as stand-alone treatments.  https://nhsgmgmicbsa.blob.core.windows.net/nhsgmgmicbblobstorage/GMEUR/Commissioning%20Statements/GM%20Complementary%20Therapies%20Commissioning%20Statement.pdf IFR?</t>
      </text>
    </comment>
    <comment ref="T34" authorId="0" shapeId="0" xr:uid="{33B8813C-CCD3-47B3-BC72-402231EB6BA3}">
      <text>
        <r>
          <rPr>
            <b/>
            <sz val="9"/>
            <color indexed="81"/>
            <rFont val="Tahoma"/>
            <family val="2"/>
          </rPr>
          <t>Jamie Smyth:</t>
        </r>
        <r>
          <rPr>
            <sz val="9"/>
            <color indexed="81"/>
            <rFont val="Tahoma"/>
            <family val="2"/>
          </rPr>
          <t xml:space="preserve">
Alternative and Complementary Medicines and Treatments - Commissioning Policy v1.4</t>
        </r>
      </text>
    </comment>
    <comment ref="U34" authorId="109" shapeId="0" xr:uid="{5B363FB1-0F4F-4D8E-AF0A-7F2EFC1B00B8}">
      <text>
        <t>[Threaded comment]
Your version of Excel allows you to read this threaded comment; however, any edits to it will get removed if the file is opened in a newer version of Excel. Learn more: https://go.microsoft.com/fwlink/?linkid=870924
Comment:
    “Due to low evidence of effectiveness, complimentary therapies will only be funded in exceptional circumstances and where they are incorporated into mainstream NHS practice. ” ?EBI?  https://www.hweclinicalguidance.nhs.uk/all-clinical-areas-documents/search-results/complementary-alternative-therapies/</t>
      </text>
    </comment>
    <comment ref="V34" authorId="110" shapeId="0" xr:uid="{79A900BB-3672-4092-AB87-A4992A996ED5}">
      <text>
        <t>[Threaded comment]
Your version of Excel allows you to read this threaded comment; however, any edits to it will get removed if the file is opened in a newer version of Excel. Learn more: https://go.microsoft.com/fwlink/?linkid=870924
Comment:
    Acupuncture is a tick however https://humberandnorthyorkshire.icb.nhs.uk/wp-content/uploads/2024/12/Complementary-alternative-therapies.docx</t>
      </text>
    </comment>
    <comment ref="X34" authorId="111" shapeId="0" xr:uid="{F7B44604-F9E4-4C9B-8414-0E000C8F6E8C}">
      <text>
        <t>[Threaded comment]
Your version of Excel allows you to read this threaded comment; however, any edits to it will get removed if the file is opened in a newer version of Excel. Learn more: https://go.microsoft.com/fwlink/?linkid=870924
Comment:
    Acupuncunture used as rehab for facial nerve damage https://www.healthierlsc.co.uk/application/files/2516/7576/5526/LSCICB_Clin37_Policy_for_Rehabilitation_after_Damage_to_Facial_Nerve_V1.1.pdf
Reply:
    Tick? - 1.1 The ICB will only commission complementary and alternative therapies where there is clear evidence of effectiveness and when they are carried out by an agreed NHS provider as part of an existing NHS pathway of care (e.g. as part of a package of end-of-life care or pain management) or when exceptionality has been demonstrated in accordance with section 8 below. 1.2 The ICB will not commission complementary and alternative therapies as “stand alone” treatments either within or outside of the NHS. https://www.healthierlsc.co.uk/application/files/3216/8487/3598/LSCICB_Clin38_Policy_for_Complementary_and_Alternative_Therapies_-_v1.1.pdf</t>
      </text>
    </comment>
    <comment ref="AB34" authorId="112" shapeId="0" xr:uid="{6851E343-FC1D-4611-A28C-F8A9B29564DE}">
      <text>
        <t>[Threaded comment]
Your version of Excel allows you to read this threaded comment; however, any edits to it will get removed if the file is opened in a newer version of Excel. Learn more: https://go.microsoft.com/fwlink/?linkid=870924
Comment:
    Tick “Acupuncture (Needle therapy for pain relief and other conditions)
Referrals for Acupuncture are considered of low priority and will only be funded by Norfolk and Waveney Integrated Care Board (ICB) in the management of migraines and tension type headaches as per NICE Guidance CG150” https://nwknowledgenow.nhs.uk/content/acupuncture/
Reply:
    IFR otherwise https://nwknowledgenow.nhs.uk/content/complementary-and-alternative-therapies/</t>
      </text>
    </comment>
    <comment ref="AC34" authorId="113" shapeId="0" xr:uid="{5CB1A616-0695-4ECE-8666-AE19500F60D9}">
      <text>
        <t>[Threaded comment]
Your version of Excel allows you to read this threaded comment; however, any edits to it will get removed if the file is opened in a newer version of Excel. Learn more: https://go.microsoft.com/fwlink/?linkid=870924
Comment:
    ?tick - “Complementary and alternative medicines are not routinely funded by NCL ICB unless they are recommended by current NICE guidance to treat the relevant indication. ”</t>
      </text>
    </comment>
    <comment ref="AG34" authorId="0" shapeId="0" xr:uid="{D9840A50-63C6-4640-AC31-89D2F84BB63A}">
      <text>
        <r>
          <rPr>
            <b/>
            <sz val="9"/>
            <color indexed="81"/>
            <rFont val="Tahoma"/>
            <family val="2"/>
          </rPr>
          <t>Jamie Smyth:</t>
        </r>
        <r>
          <rPr>
            <sz val="9"/>
            <color indexed="81"/>
            <rFont val="Tahoma"/>
            <family val="2"/>
          </rPr>
          <t xml:space="preserve">
https://www.icnorthamptonshire.org.uk/documents?media_item=21444&amp;media_type=10#file-viewer</t>
        </r>
      </text>
    </comment>
    <comment ref="AJ34" authorId="114" shapeId="0" xr:uid="{7D6C659A-CB80-4224-84CE-9735D9F9ED86}">
      <text>
        <t>[Threaded comment]
Your version of Excel allows you to read this threaded comment; however, any edits to it will get removed if the file is opened in a newer version of Excel. Learn more: https://go.microsoft.com/fwlink/?linkid=870924
Comment:
    Criteria for acupuncture https://nhssomerset.nhs.uk/wp-content/uploads/sites/2/20240313-Acupuncture-for-Chronic-Pain-CBA-Policy-2425.v1c.pdf</t>
      </text>
    </comment>
    <comment ref="AL34" authorId="115" shapeId="0" xr:uid="{CCFC16C2-2730-4EEC-A40E-D31746A205D6}">
      <text>
        <t>[Threaded comment]
Your version of Excel allows you to read this threaded comment; however, any edits to it will get removed if the file is opened in a newer version of Excel. Learn more: https://go.microsoft.com/fwlink/?linkid=870924
Comment:
    Acupuncture - “Not Routinely Commissioned except for chronic tension type headaches and migraine ”https://syics.co.uk/application/files/5916/8017/2095/FINAL_EBI_CFO_v.24_Final_27_March_2023.pdf</t>
      </text>
    </comment>
    <comment ref="AQ34" authorId="116" shapeId="0" xr:uid="{FAAA7806-D383-4FAE-9EF4-8F777C213D51}">
      <text>
        <t>[Threaded comment]
Your version of Excel allows you to read this threaded comment; however, any edits to it will get removed if the file is opened in a newer version of Excel. Learn more: https://go.microsoft.com/fwlink/?linkid=870924
Comment:
    Some tick - “Appendix B: Acupuncture Guidance and Evidence Base ”https://www.wypartnership.co.uk/application/files/2417/0231/1502/Complementary_Therapies_2018_Leeds.pdf</t>
      </text>
    </comment>
    <comment ref="F35" authorId="0" shapeId="0" xr:uid="{3A38691F-0663-4F13-8FE2-AA8ADF56E548}">
      <text>
        <r>
          <rPr>
            <b/>
            <sz val="9"/>
            <color indexed="81"/>
            <rFont val="Tahoma"/>
            <family val="2"/>
          </rPr>
          <t>Jamie Smyth:</t>
        </r>
        <r>
          <rPr>
            <sz val="9"/>
            <color indexed="81"/>
            <rFont val="Tahoma"/>
            <family val="2"/>
          </rPr>
          <t xml:space="preserve">
Covered under Tonsillectomy policy - its own policy: </t>
        </r>
      </text>
    </comment>
    <comment ref="V35" authorId="117" shapeId="0" xr:uid="{DFD41F92-6D83-48DB-9B25-703417D89321}">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https://humberandnorthyorkshire.icb.nhs.uk/wp-content/uploads/2025/04/084-Continuous-Positive-Airway-Pressure-CPAP-for-obstructive-airway-and-hypoventilation-sleep-syndromes.docx</t>
      </text>
    </comment>
    <comment ref="Z35" authorId="118" shapeId="0" xr:uid="{AF56EDC8-D0CB-471F-A6E1-94F4B912E4CD}">
      <text>
        <t>[Threaded comment]
Your version of Excel allows you to read this threaded comment; however, any edits to it will get removed if the file is opened in a newer version of Excel. Learn more: https://go.microsoft.com/fwlink/?linkid=870924
Comment:
    In line with NICE https://lincolnshire.icb.nhs.uk/~documents/icb-publications/our-policies-and-procedures/clinical-governance/cg-003-prior-approval-policy/?layout=file</t>
      </text>
    </comment>
    <comment ref="AA35" authorId="119" shapeId="0" xr:uid="{D4A0DB1A-24F6-4A58-9E24-27FFBD645280}">
      <text>
        <t>[Threaded comment]
Your version of Excel allows you to read this threaded comment; however, any edits to it will get removed if the file is opened in a newer version of Excel. Learn more: https://go.microsoft.com/fwlink/?linkid=870924
Comment:
    Tick https://www.midandsouthessex.ics.nhs.uk/publications/srp-038-continuous-positive-airway-pressure-cpap-in-adults/</t>
      </text>
    </comment>
    <comment ref="AG35" authorId="120" shapeId="0" xr:uid="{DEB34441-0727-40C9-9A28-DED3E3BC99E9}">
      <text>
        <t>[Threaded comment]
Your version of Excel allows you to read this threaded comment; however, any edits to it will get removed if the file is opened in a newer version of Excel. Learn more: https://go.microsoft.com/fwlink/?linkid=870924
Comment:
    Tick - https://www.icnorthamptonshire.org.uk/download.cfm?doc=docm93jijm4n21599&amp;ver=65847</t>
      </text>
    </comment>
    <comment ref="AO35" authorId="121" shapeId="0" xr:uid="{0CF7D545-BED7-4DAF-AA91-FB623D7E11AC}">
      <text>
        <t xml:space="preserve">[Threaded comment]
Your version of Excel allows you to read this threaded comment; however, any edits to it will get removed if the file is opened in a newer version of Excel. Learn more: https://go.microsoft.com/fwlink/?linkid=870924
Comment:
    Tick - “Continuous positive airway pressure (CPAP) for mild OSAHS” https://www.surreyheartlands.org/tnrf2-other-procedures </t>
      </text>
    </comment>
    <comment ref="C36" authorId="122" shapeId="0" xr:uid="{15CE67EC-9E52-4552-A4AF-9614316131D6}">
      <text>
        <t>[Threaded comment]
Your version of Excel allows you to read this threaded comment; however, any edits to it will get removed if the file is opened in a newer version of Excel. Learn more: https://go.microsoft.com/fwlink/?linkid=870924
Comment:
    Female only</t>
      </text>
    </comment>
    <comment ref="E36" authorId="123" shapeId="0" xr:uid="{62D43815-E7DB-497E-8A61-A6BA03EB57D7}">
      <text>
        <t>[Threaded comment]
Your version of Excel allows you to read this threaded comment; however, any edits to it will get removed if the file is opened in a newer version of Excel. Learn more: https://go.microsoft.com/fwlink/?linkid=870924
Comment:
    This said criteria based “restriced” https://www.birminghamsolihull.icb.nhs.uk/application/files/5016/5952/2676/Policy_for_cosmetic_surgery_other_cosmetic_procedures.pdf but this says “Labia reduction surgery should is not normally funded by the patient’s local NHS commissioning organisation unless the surgery is medically advised.
” https://www.birminghamsolihull.icb.nhs.uk/health-information-and-advice/policies/womens-health-gynaecology</t>
      </text>
    </comment>
    <comment ref="F36" authorId="0" shapeId="0" xr:uid="{F3B0BD65-E5BA-4064-8114-E4F7E5DD01BD}">
      <text>
        <r>
          <rPr>
            <b/>
            <sz val="9"/>
            <color indexed="81"/>
            <rFont val="Tahoma"/>
            <family val="2"/>
          </rPr>
          <t>Jamie Smyth:</t>
        </r>
        <r>
          <rPr>
            <sz val="9"/>
            <color indexed="81"/>
            <rFont val="Tahoma"/>
            <family val="2"/>
          </rPr>
          <t xml:space="preserve">
Hysterectomy for HMB policy - Cosmetic indications are not routinely funded by the ICB. 
https://blackcountryics.org.uk/application/files/5217/2708/5629/BCICB_POLICY_Genitoplasty_v2.pdf </t>
        </r>
      </text>
    </comment>
    <comment ref="U36" authorId="0" shapeId="0" xr:uid="{DF885126-CBD7-43E7-B3BC-F449A3D5C74E}">
      <text>
        <r>
          <rPr>
            <b/>
            <sz val="9"/>
            <color indexed="81"/>
            <rFont val="Tahoma"/>
            <family val="2"/>
          </rPr>
          <t>Jamie Smyth:</t>
        </r>
        <r>
          <rPr>
            <sz val="9"/>
            <color indexed="81"/>
            <rFont val="Tahoma"/>
            <family val="2"/>
          </rPr>
          <t xml:space="preserve">
https://www.hweclinicalguidance.nhs.uk/clinical-policies/epidural-injections-and-therapeutic-nerve-blocks-for-lumbar-or-sacral-radiculopathy/
https://www.hweclinicalguidance.nhs.uk/clinical-policies/labiaplasty-vaginoplasty-hymenorrhaphy/</t>
        </r>
      </text>
    </comment>
    <comment ref="AI36" authorId="0" shapeId="0" xr:uid="{026B9FCF-C3FC-4D26-A2FA-60E22687EFEC}">
      <text>
        <r>
          <rPr>
            <b/>
            <sz val="9"/>
            <color indexed="81"/>
            <rFont val="Tahoma"/>
            <family val="2"/>
          </rPr>
          <t>Jamie Smyth:</t>
        </r>
        <r>
          <rPr>
            <sz val="9"/>
            <color indexed="81"/>
            <rFont val="Tahoma"/>
            <family val="2"/>
          </rPr>
          <t xml:space="preserve">
Page 12 - Cosmetic/Aesthetic procedures</t>
        </r>
      </text>
    </comment>
    <comment ref="AN36" authorId="124" shapeId="0" xr:uid="{6EB91C6E-DF8E-4EDA-8B76-41F13DC9860F}">
      <text>
        <t>[Threaded comment]
Your version of Excel allows you to read this threaded comment; however, any edits to it will get removed if the file is opened in a newer version of Excel. Learn more: https://go.microsoft.com/fwlink/?linkid=870924
Comment:
    IFR? Says policy does not cover “Surgery to alter the appearance of the labia or vagina for cosmetic reasons ” https://suffolkandnortheastessex.icb.nhs.uk/about-us/our-policies/</t>
      </text>
    </comment>
    <comment ref="D37" authorId="0" shapeId="0" xr:uid="{9C9616BC-CFFB-4024-B58B-25037E7FB0E6}">
      <text>
        <r>
          <rPr>
            <b/>
            <sz val="9"/>
            <color indexed="81"/>
            <rFont val="Tahoma"/>
            <family val="2"/>
          </rPr>
          <t>Jamie Smyth:</t>
        </r>
        <r>
          <rPr>
            <sz val="9"/>
            <color indexed="81"/>
            <rFont val="Tahoma"/>
            <family val="2"/>
          </rPr>
          <t xml:space="preserve">
Cough assist device policy
</t>
        </r>
      </text>
    </comment>
    <comment ref="U37" authorId="0" shapeId="0" xr:uid="{83FDD53F-F750-463C-8270-1C2CCFAD20B7}">
      <text>
        <r>
          <rPr>
            <b/>
            <sz val="9"/>
            <color indexed="81"/>
            <rFont val="Tahoma"/>
            <family val="2"/>
          </rPr>
          <t>Jamie Smyth:</t>
        </r>
        <r>
          <rPr>
            <sz val="9"/>
            <color indexed="81"/>
            <rFont val="Tahoma"/>
            <family val="2"/>
          </rPr>
          <t xml:space="preserve">
https://www.hweclinicalguidance.nhs.uk/clinical-policies/mechanical-insufflation-exsufflation-mi-e-devices-coughassist/</t>
        </r>
      </text>
    </comment>
    <comment ref="Z37" authorId="0" shapeId="0" xr:uid="{5CD5B04F-21E4-4C81-803A-757335A7BFF0}">
      <text>
        <r>
          <rPr>
            <b/>
            <sz val="9"/>
            <color indexed="81"/>
            <rFont val="Tahoma"/>
            <family val="2"/>
          </rPr>
          <t>Jamie Smyth:</t>
        </r>
        <r>
          <rPr>
            <sz val="9"/>
            <color indexed="81"/>
            <rFont val="Tahoma"/>
            <family val="2"/>
          </rPr>
          <t xml:space="preserve">
 Cough Assist/Mechanical Insufflation and Exsufflation (MI-E) device  - Page 77</t>
        </r>
      </text>
    </comment>
    <comment ref="W38" authorId="125" shapeId="0" xr:uid="{6B190C02-7181-4157-A4C9-9E9B8456FB9C}">
      <text>
        <t>[Threaded comment]
Your version of Excel allows you to read this threaded comment; however, any edits to it will get removed if the file is opened in a newer version of Excel. Learn more: https://go.microsoft.com/fwlink/?linkid=870924
Comment:
    NHS England guidance “Cryotherapy for localised prostate cancer”  https://www.kentandmedway.icb.nhs.uk/application/files/9817/1292/6708/KM_RaTC_April_2024.pdf</t>
      </text>
    </comment>
    <comment ref="F39" authorId="126" shapeId="0" xr:uid="{101D4D43-651D-48B3-BBA0-2438FBC65436}">
      <text>
        <t>[Threaded comment]
Your version of Excel allows you to read this threaded comment; however, any edits to it will get removed if the file is opened in a newer version of Excel. Learn more: https://go.microsoft.com/fwlink/?linkid=870924
Comment:
    Cystoscopy for uncomplicated lower urinary tract symptoms
A procedure using a thin telescope to look at the lining of the bladder.
cEBI - https://blackcountry.icb.nhs.uk/have-your-say/get-involved/current-consultations-and-engagement/clinical-policy-review2</t>
      </text>
    </comment>
    <comment ref="M39" authorId="127" shapeId="0" xr:uid="{B8C82022-3220-4014-8AA8-9E1410402F5F}">
      <text>
        <t>[Threaded comment]
Your version of Excel allows you to read this threaded comment; however, any edits to it will get removed if the file is opened in a newer version of Excel. Learn more: https://go.microsoft.com/fwlink/?linkid=870924
Comment:
    Criteria based https://www.derbyshiremedicinesmanagement.nhs.uk/assets/Clinical-Policies/Clinical_Policies/PLCV/urology/Cystoscopy_for_uncomplicated_lower_urinary_tract_symptoms.pdf</t>
      </text>
    </comment>
    <comment ref="T39" authorId="128" shapeId="0" xr:uid="{F19B5AEB-431C-444F-AE1E-B467229BCDA2}">
      <text>
        <t>[Threaded comment]
Your version of Excel allows you to read this threaded comment; however, any edits to it will get removed if the file is opened in a newer version of Excel. Learn more: https://go.microsoft.com/fwlink/?linkid=870924
Comment:
    Tick https://www.hwics.org.uk/application/files/7617/3141/3581/ICB_Cystoscopy_Commissioning_Policy_v1.2.pdf</t>
      </text>
    </comment>
    <comment ref="V39" authorId="129" shapeId="0" xr:uid="{D42ECCB1-1CE6-455E-87FA-098D261F27CA}">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https://humberandnorthyorkshire.icb.nhs.uk/wp-content/uploads/2025/04/101-Cystoscopy-for-men-with-lower-urinary-tract-symptoms.docx</t>
      </text>
    </comment>
    <comment ref="C41" authorId="0" shapeId="0" xr:uid="{F34E65B3-80E6-4BB6-B374-BEEAABBF4421}">
      <text>
        <r>
          <rPr>
            <b/>
            <sz val="9"/>
            <color indexed="81"/>
            <rFont val="Tahoma"/>
            <family val="2"/>
          </rPr>
          <t>Jamie Smyth:</t>
        </r>
        <r>
          <rPr>
            <sz val="9"/>
            <color indexed="81"/>
            <rFont val="Tahoma"/>
            <family val="2"/>
          </rPr>
          <t xml:space="preserve">
Mentioned in same section as epidural injections for back pain</t>
        </r>
      </text>
    </comment>
    <comment ref="D41" authorId="0" shapeId="0" xr:uid="{277A1E1C-D643-417D-AB6C-1431564FD8A2}">
      <text>
        <r>
          <rPr>
            <b/>
            <sz val="9"/>
            <color indexed="81"/>
            <rFont val="Tahoma"/>
            <family val="2"/>
          </rPr>
          <t>Jamie Smyth:</t>
        </r>
        <r>
          <rPr>
            <sz val="9"/>
            <color indexed="81"/>
            <rFont val="Tahoma"/>
            <family val="2"/>
          </rPr>
          <t xml:space="preserve">
Spinal injections section of "Back pain: Non-specific low back pain" policy</t>
        </r>
      </text>
    </comment>
    <comment ref="E41" authorId="0" shapeId="0" xr:uid="{F5B3C1A8-250E-4BD4-B1E5-806314E07CAC}">
      <text>
        <r>
          <rPr>
            <b/>
            <sz val="9"/>
            <color indexed="81"/>
            <rFont val="Tahoma"/>
            <family val="2"/>
          </rPr>
          <t>Jamie Smyth:</t>
        </r>
        <r>
          <rPr>
            <sz val="9"/>
            <color indexed="81"/>
            <rFont val="Tahoma"/>
            <family val="2"/>
          </rPr>
          <t xml:space="preserve">
Described under Low Back Pain Policy as "Not recommended"</t>
        </r>
      </text>
    </comment>
    <comment ref="G41" authorId="0" shapeId="0" xr:uid="{E5DCAFE8-D3B5-49B2-9E98-1A32A4AFE42A}">
      <text>
        <r>
          <rPr>
            <b/>
            <sz val="9"/>
            <color indexed="81"/>
            <rFont val="Tahoma"/>
            <family val="2"/>
          </rPr>
          <t>Jamie Smyth:</t>
        </r>
        <r>
          <rPr>
            <sz val="9"/>
            <color indexed="81"/>
            <rFont val="Tahoma"/>
            <family val="2"/>
          </rPr>
          <t xml:space="preserve">
Page 4 of Management of Low Back Pain and Sciatica in over 16’s policy. AO : Section A - Medial Branch Block to Assess for Radiofrequency Denervation
A single diagnostic medial branch block at a specific spinal level is commissioned for
patients to assess whether they may benefit from Radiofrequency Denervation where - https://bnssghealthiertogether.org.uk/wp-content/uploads/2017/08/Mgmt-Low-Back-Pain-BNSSG-3-24-25-1.pdf - should be tick?</t>
        </r>
      </text>
    </comment>
    <comment ref="H41" authorId="0" shapeId="0" xr:uid="{950D5E2E-852B-4109-B775-6310CD142B4A}">
      <text>
        <r>
          <rPr>
            <b/>
            <sz val="9"/>
            <color indexed="81"/>
            <rFont val="Tahoma"/>
            <family val="2"/>
          </rPr>
          <t>Jamie Smyth:</t>
        </r>
        <r>
          <rPr>
            <sz val="9"/>
            <color indexed="81"/>
            <rFont val="Tahoma"/>
            <family val="2"/>
          </rPr>
          <t xml:space="preserve">
Facet Joint Injections and Medial Branch Blocks for Chronic Neck Pain policy</t>
        </r>
      </text>
    </comment>
    <comment ref="I41" authorId="0" shapeId="0" xr:uid="{403E56C2-2371-496D-AE6B-9CAFB1C89A3C}">
      <text>
        <r>
          <rPr>
            <b/>
            <sz val="9"/>
            <color indexed="81"/>
            <rFont val="Tahoma"/>
            <family val="2"/>
          </rPr>
          <t>Jamie Smyth:</t>
        </r>
        <r>
          <rPr>
            <sz val="9"/>
            <color indexed="81"/>
            <rFont val="Tahoma"/>
            <family val="2"/>
          </rPr>
          <t xml:space="preserve">
Surgery and Other Invasive Interventions for Low Back Pain Policy. AO low back policy says "• Medial branch blocks will be funded to assess suitability for radiofrequency denervation or prior to surgery.  Diagnostic injections for other indications are not funded."</t>
        </r>
      </text>
    </comment>
    <comment ref="J41" authorId="0" shapeId="0" xr:uid="{F60AF576-A58A-4E6D-8181-E687D0C9C2D5}">
      <text>
        <r>
          <rPr>
            <b/>
            <sz val="9"/>
            <color indexed="81"/>
            <rFont val="Tahoma"/>
            <family val="2"/>
          </rPr>
          <t>Jamie Smyth:</t>
        </r>
        <r>
          <rPr>
            <sz val="9"/>
            <color indexed="81"/>
            <rFont val="Tahoma"/>
            <family val="2"/>
          </rPr>
          <t xml:space="preserve">
Spinal injections for low back pain policy</t>
        </r>
      </text>
    </comment>
    <comment ref="K41" authorId="130" shapeId="0" xr:uid="{CC446E2E-2384-4FE6-9E2F-C6E996CA29C3}">
      <text>
        <t>[Threaded comment]
Your version of Excel allows you to read this threaded comment; however, any edits to it will get removed if the file is opened in a newer version of Excel. Learn more: https://go.microsoft.com/fwlink/?linkid=870924
Comment:
    Should be a tick https://docs.cios.icb.nhs.uk/DocumentsLibrary/NHSCornwallAndIslesOfScilly/Services/IndividualFundingRequests/CommissioningPolicies.pdf
Reply:
    “This guidance recommends: 1. Medial branch blocks (a spinal injection) CAN be used diagnostically for patients with isolated lower back pain who have not responded to rehabilitation. ”</t>
      </text>
    </comment>
    <comment ref="L41" authorId="0" shapeId="0" xr:uid="{95290EF7-801A-43D1-9280-A7C95A0ED087}">
      <text>
        <r>
          <rPr>
            <b/>
            <sz val="9"/>
            <color indexed="81"/>
            <rFont val="Tahoma"/>
            <family val="2"/>
          </rPr>
          <t>Jamie Smyth:</t>
        </r>
        <r>
          <rPr>
            <sz val="9"/>
            <color indexed="81"/>
            <rFont val="Tahoma"/>
            <family val="2"/>
          </rPr>
          <t xml:space="preserve">
Injections for Non-Specific BackPain (without) Sciatica Policy</t>
        </r>
      </text>
    </comment>
    <comment ref="M41" authorId="131" shapeId="0" xr:uid="{EEEEA20F-9AF8-43E5-B2CC-0B476D5EB138}">
      <text>
        <t>[Threaded comment]
Your version of Excel allows you to read this threaded comment; however, any edits to it will get removed if the file is opened in a newer version of Excel. Learn more: https://go.microsoft.com/fwlink/?linkid=870924
Comment:
    Criteria based https://www.derbyshiremedicinesmanagement.nhs.uk/assets/Clinical-Policies/Clinical_Policies/PLCV/urology/Cystoscopy_for_uncomplicated_lower_urinary_tract_symptoms.pdf</t>
      </text>
    </comment>
    <comment ref="N41" authorId="0" shapeId="0" xr:uid="{7AC60AB8-F3F7-4E88-9CDA-6D368B3430A5}">
      <text>
        <r>
          <rPr>
            <b/>
            <sz val="9"/>
            <color indexed="81"/>
            <rFont val="Tahoma"/>
            <family val="2"/>
          </rPr>
          <t>Jamie Smyth:</t>
        </r>
        <r>
          <rPr>
            <sz val="9"/>
            <color indexed="81"/>
            <rFont val="Tahoma"/>
            <family val="2"/>
          </rPr>
          <t xml:space="preserve">
IFR for back pain without sciatica - funded with criteria for back pain with sciatica</t>
        </r>
      </text>
    </comment>
    <comment ref="O41" authorId="0" shapeId="0" xr:uid="{DCDBB355-9ED1-453F-AA2C-ED94BCD1A8FC}">
      <text>
        <r>
          <rPr>
            <b/>
            <sz val="9"/>
            <color indexed="81"/>
            <rFont val="Tahoma"/>
            <family val="2"/>
          </rPr>
          <t>Jamie Smyth:</t>
        </r>
        <r>
          <rPr>
            <sz val="9"/>
            <color indexed="81"/>
            <rFont val="Tahoma"/>
            <family val="2"/>
          </rPr>
          <t xml:space="preserve">
Interventional Procedures In The Management Of Spinal Pain policy
AO unable to find ref https://nhsdorset.nhs.uk/wp-content/uploads/2024/05/Interventional-Procedures-in-the-Management-of-Spinal-Pain-EBI-May-2024.pdf</t>
        </r>
      </text>
    </comment>
    <comment ref="T41" authorId="0" shapeId="0" xr:uid="{D35030A4-3FFD-4F0F-A4F1-DAA6EE4FA8C7}">
      <text>
        <r>
          <rPr>
            <b/>
            <sz val="9"/>
            <color indexed="81"/>
            <rFont val="Tahoma"/>
            <family val="2"/>
          </rPr>
          <t>Jamie Smyth:</t>
        </r>
        <r>
          <rPr>
            <sz val="9"/>
            <color indexed="81"/>
            <rFont val="Tahoma"/>
            <family val="2"/>
          </rPr>
          <t xml:space="preserve">
Management of Musculo-Skeletal Conditions - Commissioning Policy v1.5. AO unable to find ref to diagbostic injection specifically? </t>
        </r>
      </text>
    </comment>
    <comment ref="U41" authorId="0" shapeId="0" xr:uid="{0C3ACD20-6542-468A-973C-0955D67C5FD2}">
      <text>
        <r>
          <rPr>
            <b/>
            <sz val="9"/>
            <color indexed="81"/>
            <rFont val="Tahoma"/>
            <family val="2"/>
          </rPr>
          <t>Jamie Smyth:</t>
        </r>
        <r>
          <rPr>
            <sz val="9"/>
            <color indexed="81"/>
            <rFont val="Tahoma"/>
            <family val="2"/>
          </rPr>
          <t xml:space="preserve">
https://www.hweclinicalguidance.nhs.uk/clinical-policies/epidural-injections-and-therapeutic-nerve-blocks-for-lumbar-or-sacral-radiculopathy/
https://www.hweclinicalguidance.nhs.uk/clinical-policies/injections-and-radiofrequency-denervation-for-non-specific-back-pain/</t>
        </r>
      </text>
    </comment>
    <comment ref="Y41" authorId="0" shapeId="0" xr:uid="{1DF3FCDD-112E-4DCC-80E0-5EB379AD2CAA}">
      <text>
        <r>
          <rPr>
            <b/>
            <sz val="9"/>
            <color indexed="81"/>
            <rFont val="Tahoma"/>
            <family val="2"/>
          </rPr>
          <t>Jamie Smyth:</t>
        </r>
        <r>
          <rPr>
            <sz val="9"/>
            <color indexed="81"/>
            <rFont val="Tahoma"/>
            <family val="2"/>
          </rPr>
          <t xml:space="preserve">
Policy for Medical Branch Block and Facet Joint Injection</t>
        </r>
      </text>
    </comment>
    <comment ref="AA41" authorId="0" shapeId="0" xr:uid="{F8A42D9C-0418-463D-825A-21D5A495841E}">
      <text>
        <r>
          <rPr>
            <b/>
            <sz val="9"/>
            <color indexed="81"/>
            <rFont val="Tahoma"/>
            <family val="2"/>
          </rPr>
          <t>Jamie Smyth:</t>
        </r>
        <r>
          <rPr>
            <sz val="9"/>
            <color indexed="81"/>
            <rFont val="Tahoma"/>
            <family val="2"/>
          </rPr>
          <t xml:space="preserve">
https://www.midandsouthessex.ics.nhs.uk/publications/srp-095-spinal-injections-for-low-back-pain-and-radicular-leg-pain/</t>
        </r>
      </text>
    </comment>
    <comment ref="AB41" authorId="132" shapeId="0" xr:uid="{CCF0FD1B-1CD7-40F7-BADD-F6A223594260}">
      <text>
        <t>[Threaded comment]
Your version of Excel allows you to read this threaded comment; however, any edits to it will get removed if the file is opened in a newer version of Excel. Learn more: https://go.microsoft.com/fwlink/?linkid=870924
Comment:
    Tick “A diagnostic medial branch or intra-articular block, (facet joint injection) provided under a standard protocol, ” https://nwknowledgenow.nhs.uk/content/facet-joint-pain-suspected/
Reply:
    Also tick - https://nwknowledgenow.nhs.uk/content/sacro-iliac-injections/</t>
      </text>
    </comment>
    <comment ref="AC41" authorId="0" shapeId="0" xr:uid="{6D4FB888-F085-41AC-8FFA-6D8CD73BECD1}">
      <text>
        <r>
          <rPr>
            <b/>
            <sz val="9"/>
            <color indexed="81"/>
            <rFont val="Tahoma"/>
            <family val="2"/>
          </rPr>
          <t>Jamie Smyth:</t>
        </r>
        <r>
          <rPr>
            <sz val="9"/>
            <color indexed="81"/>
            <rFont val="Tahoma"/>
            <family val="2"/>
          </rPr>
          <t xml:space="preserve">
 11.16 Interventional treatments for back pain – Sacroiliac joint injections (diagnostic and therapeutic)  </t>
        </r>
      </text>
    </comment>
    <comment ref="AE41" authorId="0" shapeId="0" xr:uid="{98BBA62B-93FA-4EB8-AACC-9441C6F6027D}">
      <text>
        <r>
          <rPr>
            <b/>
            <sz val="9"/>
            <color indexed="81"/>
            <rFont val="Tahoma"/>
            <family val="2"/>
          </rPr>
          <t>Jamie Smyth:</t>
        </r>
        <r>
          <rPr>
            <sz val="9"/>
            <color indexed="81"/>
            <rFont val="Tahoma"/>
            <family val="2"/>
          </rPr>
          <t xml:space="preserve">
Interventional treatments for back pain   - Page 44</t>
        </r>
      </text>
    </comment>
    <comment ref="AF41" authorId="0" shapeId="0" xr:uid="{12B9D1B4-E8D3-4831-BC81-D6D48913AA3C}">
      <text>
        <r>
          <rPr>
            <b/>
            <sz val="9"/>
            <color indexed="81"/>
            <rFont val="Tahoma"/>
            <family val="2"/>
          </rPr>
          <t>Jamie Smyth:</t>
        </r>
        <r>
          <rPr>
            <sz val="9"/>
            <color indexed="81"/>
            <rFont val="Tahoma"/>
            <family val="2"/>
          </rPr>
          <t xml:space="preserve">
Low Back Pain and Sciatica Policy v7.pdf</t>
        </r>
      </text>
    </comment>
    <comment ref="AG41" authorId="0" shapeId="0" xr:uid="{2C5BE150-A858-4946-86F2-72C354BB39F1}">
      <text>
        <r>
          <rPr>
            <b/>
            <sz val="9"/>
            <color indexed="81"/>
            <rFont val="Tahoma"/>
            <family val="2"/>
          </rPr>
          <t>Jamie Smyth:</t>
        </r>
        <r>
          <rPr>
            <sz val="9"/>
            <color indexed="81"/>
            <rFont val="Tahoma"/>
            <family val="2"/>
          </rPr>
          <t xml:space="preserve">
https://www.icnorthamptonshire.org.uk/documents?media_item=19773&amp;media_type=10#file-viewer</t>
        </r>
      </text>
    </comment>
    <comment ref="AH41" authorId="0" shapeId="0" xr:uid="{B781FD3F-931C-4DC0-AE2D-32B97265865A}">
      <text>
        <r>
          <rPr>
            <b/>
            <sz val="9"/>
            <color indexed="81"/>
            <rFont val="Tahoma"/>
            <family val="2"/>
          </rPr>
          <t>Jamie Smyth:</t>
        </r>
        <r>
          <rPr>
            <sz val="9"/>
            <color indexed="81"/>
            <rFont val="Tahoma"/>
            <family val="2"/>
          </rPr>
          <t xml:space="preserve">
Low Back Pain – Medial Branch Block (MBB) - Page 91</t>
        </r>
      </text>
    </comment>
    <comment ref="AI41" authorId="0" shapeId="0" xr:uid="{4A8C086E-7A9E-4306-9EA8-3965404CDA22}">
      <text>
        <r>
          <rPr>
            <b/>
            <sz val="9"/>
            <color indexed="81"/>
            <rFont val="Tahoma"/>
            <family val="2"/>
          </rPr>
          <t>Jamie Smyth:</t>
        </r>
        <r>
          <rPr>
            <sz val="9"/>
            <color indexed="81"/>
            <rFont val="Tahoma"/>
            <family val="2"/>
          </rPr>
          <t xml:space="preserve">
Diagnostic Medial Branch Block Injections   - Section 16E - Page 39</t>
        </r>
      </text>
    </comment>
    <comment ref="AJ41" authorId="0" shapeId="0" xr:uid="{73120E2B-2818-4341-81C5-136321CFAA3F}">
      <text>
        <r>
          <rPr>
            <b/>
            <sz val="9"/>
            <color indexed="81"/>
            <rFont val="Tahoma"/>
            <family val="2"/>
          </rPr>
          <t>Jamie Smyth:</t>
        </r>
        <r>
          <rPr>
            <sz val="9"/>
            <color indexed="81"/>
            <rFont val="Tahoma"/>
            <family val="2"/>
          </rPr>
          <t xml:space="preserve">
Low Back Pain with or without Sciatica Policy</t>
        </r>
      </text>
    </comment>
    <comment ref="AM41" authorId="0" shapeId="0" xr:uid="{D157B4FB-72E6-4FFD-8412-838606DA4BF8}">
      <text>
        <r>
          <rPr>
            <b/>
            <sz val="9"/>
            <color indexed="81"/>
            <rFont val="Tahoma"/>
            <family val="2"/>
          </rPr>
          <t>Jamie Smyth:</t>
        </r>
        <r>
          <rPr>
            <sz val="9"/>
            <color indexed="81"/>
            <rFont val="Tahoma"/>
            <family val="2"/>
          </rPr>
          <t xml:space="preserve">
Lumbar Radicular Pain - Page 106</t>
        </r>
      </text>
    </comment>
    <comment ref="AO41" authorId="0" shapeId="0" xr:uid="{BD16F089-7078-4157-87EC-8FDFBF682920}">
      <text>
        <r>
          <rPr>
            <b/>
            <sz val="9"/>
            <color indexed="81"/>
            <rFont val="Tahoma"/>
            <family val="2"/>
          </rPr>
          <t>Jamie Smyth:</t>
        </r>
        <r>
          <rPr>
            <sz val="9"/>
            <color indexed="81"/>
            <rFont val="Tahoma"/>
            <family val="2"/>
          </rPr>
          <t xml:space="preserve">
https://www.surreyheartlands.org/tnrf2-pain-management
Lumbar facet joint injections (spinal injections to help with pain)</t>
        </r>
      </text>
    </comment>
    <comment ref="AP41" authorId="0" shapeId="0" xr:uid="{3C5AC1C3-78A3-4869-ABCC-3DEE55798809}">
      <text>
        <r>
          <rPr>
            <b/>
            <sz val="9"/>
            <color indexed="81"/>
            <rFont val="Tahoma"/>
            <family val="2"/>
          </rPr>
          <t>Jamie Smyth:</t>
        </r>
        <r>
          <rPr>
            <sz val="9"/>
            <color indexed="81"/>
            <rFont val="Tahoma"/>
            <family val="2"/>
          </rPr>
          <t xml:space="preserve">
25. Injections for Nonspecific Low Back Pain without Sciatica 
Page 42
Any other spinal injections not specifically covered above radiofrequency denervation can be offered according to NICE guidance (NG59) if all non-surgical and alternative treatments have been tried and there is moderate to severe chronic pain that has improved in response to diagnostic medical branch block. </t>
        </r>
      </text>
    </comment>
    <comment ref="AQ41" authorId="0" shapeId="0" xr:uid="{64C3E1A3-981D-492F-86CF-534606ACCC8B}">
      <text>
        <r>
          <rPr>
            <b/>
            <sz val="9"/>
            <color indexed="81"/>
            <rFont val="Tahoma"/>
            <family val="2"/>
          </rPr>
          <t>Jamie Smyth:</t>
        </r>
        <r>
          <rPr>
            <sz val="9"/>
            <color indexed="81"/>
            <rFont val="Tahoma"/>
            <family val="2"/>
          </rPr>
          <t xml:space="preserve">
Spinal surgery assessment (11.2024) policy"</t>
        </r>
      </text>
    </comment>
    <comment ref="B42" authorId="5" shapeId="0" xr:uid="{6EFE5648-F9F0-4B47-AB03-DEAB08B9C415}">
      <text>
        <r>
          <rPr>
            <b/>
            <sz val="9"/>
            <color indexed="81"/>
            <rFont val="Tahoma"/>
            <family val="2"/>
          </rPr>
          <t>Ogier, Anna S:</t>
        </r>
        <r>
          <rPr>
            <sz val="9"/>
            <color indexed="81"/>
            <rFont val="Tahoma"/>
            <family val="2"/>
          </rPr>
          <t xml:space="preserve">
Divarication of recti - Surgery should, therefore, be avoided unless extreme symptoms present.</t>
        </r>
      </text>
    </comment>
    <comment ref="M42" authorId="133" shapeId="0" xr:uid="{715DAADD-3592-4DD4-9BF6-F820B547E70F}">
      <text>
        <t>[Threaded comment]
Your version of Excel allows you to read this threaded comment; however, any edits to it will get removed if the file is opened in a newer version of Excel. Learn more: https://go.microsoft.com/fwlink/?linkid=870924
Comment:
    IFR https://www.derbyshiremedicinesmanagement.nhs.uk/assets/Clinical-Policies/Clinical_Policies/PLCV/general_surgery/Surgery_for_Diastasis_of_Recti%20.pdf</t>
      </text>
    </comment>
    <comment ref="T42" authorId="134" shapeId="0" xr:uid="{88179B65-2225-4191-9765-502DD09A3BB4}">
      <text>
        <t>[Threaded comment]
Your version of Excel allows you to read this threaded comment; however, any edits to it will get removed if the file is opened in a newer version of Excel. Learn more: https://go.microsoft.com/fwlink/?linkid=870924
Comment:
    Unable to find ref</t>
      </text>
    </comment>
    <comment ref="V42" authorId="135" shapeId="0" xr:uid="{2E9EA05B-62EB-4738-A916-2E3CC93D2C97}">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https://humberandnorthyorkshire.icb.nhs.uk/wp-content/uploads/2024/12/Abdominoplasty-including-repair-of-Diastasis-Recti-and-Apronectomy.docx</t>
      </text>
    </comment>
    <comment ref="X42" authorId="136" shapeId="0" xr:uid="{95ACAEA9-9268-4587-BA72-71B6EDE4909D}">
      <text>
        <t>[Threaded comment]
Your version of Excel allows you to read this threaded comment; however, any edits to it will get removed if the file is opened in a newer version of Excel. Learn more: https://go.microsoft.com/fwlink/?linkid=870924
Comment:
    IFR - https://www.healthierlsc.co.uk/application/files/4816/8487/3599/LSCICB_Clin43_Policy_for_Cosmetic_Procedures_v3.2.pdf</t>
      </text>
    </comment>
    <comment ref="Z42" authorId="137" shapeId="0" xr:uid="{DBBD5FD9-CBEE-44FA-AFDB-E51497C6284F}">
      <text>
        <t>[Threaded comment]
Your version of Excel allows you to read this threaded comment; however, any edits to it will get removed if the file is opened in a newer version of Excel. Learn more: https://go.microsoft.com/fwlink/?linkid=870924
Comment:
    IFR https://lincolnshire.icb.nhs.uk/~documents/icb-publications/our-policies-and-procedures/clinical-governance/cg-003-prior-approval-policy/?layout=file</t>
      </text>
    </comment>
    <comment ref="AI42" authorId="138" shapeId="0" xr:uid="{19441002-6363-4E85-9EA0-D9DC49D236C3}">
      <text>
        <t xml:space="preserve">[Threaded comment]
Your version of Excel allows you to read this threaded comment; however, any edits to it will get removed if the file is opened in a newer version of Excel. Learn more: https://go.microsoft.com/fwlink/?linkid=870924
Comment:
    IFR - Surgery for the repair of Divarication of Recti is not funded. </t>
      </text>
    </comment>
    <comment ref="AL42" authorId="139" shapeId="0" xr:uid="{8555F37C-E283-45A9-BFA3-45EB1BC8163D}">
      <text>
        <t>[Threaded comment]
Your version of Excel allows you to read this threaded comment; however, any edits to it will get removed if the file is opened in a newer version of Excel. Learn more: https://go.microsoft.com/fwlink/?linkid=870924
Comment:
    IFR - PATIENTS WITH DIVARICATION OF THE RECTI SHOULD NOT BE REFERRED FOR SURGICAL OPINION https://syics.co.uk/application/files/5916/8017/2095/FINAL_EBI_CFO_v.24_Final_27_March_2023.pdf</t>
      </text>
    </comment>
    <comment ref="L43" authorId="140" shapeId="0" xr:uid="{EDDB1904-0D3C-4178-A3E7-593E9CF1B3E9}">
      <text>
        <t>[Threaded comment]
Your version of Excel allows you to read this threaded comment; however, any edits to it will get removed if the file is opened in a newer version of Excel. Learn more: https://go.microsoft.com/fwlink/?linkid=870924
Comment:
    Unable to find</t>
      </text>
    </comment>
    <comment ref="T43" authorId="141" shapeId="0" xr:uid="{96739E88-53F2-47AF-9CA5-8540FDCCE199}">
      <text>
        <t>[Threaded comment]
Your version of Excel allows you to read this threaded comment; however, any edits to it will get removed if the file is opened in a newer version of Excel. Learn more: https://go.microsoft.com/fwlink/?linkid=870924
Comment:
    https://www.hwics.org.uk/application/files/4417/3210/9783/ICB_Hysterectomy_for_HMB_Commissioning_Policy_V2.1_final.pdf IFR
Reply:
    “Dilatation and curettage is not commissioned for heavy menstrual bleeding. ”</t>
      </text>
    </comment>
    <comment ref="W43" authorId="0" shapeId="0" xr:uid="{64AC9C24-7473-4F40-AAFF-AECC2ED277F5}">
      <text>
        <r>
          <rPr>
            <b/>
            <sz val="9"/>
            <color indexed="81"/>
            <rFont val="Tahoma"/>
            <family val="2"/>
          </rPr>
          <t>Jamie Smyth:</t>
        </r>
        <r>
          <rPr>
            <sz val="9"/>
            <color indexed="81"/>
            <rFont val="Tahoma"/>
            <family val="2"/>
          </rPr>
          <t xml:space="preserve">
10.1 - D+C not routinely funded</t>
        </r>
      </text>
    </comment>
    <comment ref="AC43" authorId="0" shapeId="0" xr:uid="{6D7460D4-B69F-4D73-A05F-AC703DC107D4}">
      <text>
        <r>
          <rPr>
            <b/>
            <sz val="9"/>
            <color indexed="81"/>
            <rFont val="Tahoma"/>
            <family val="2"/>
          </rPr>
          <t>Jamie Smyth:</t>
        </r>
        <r>
          <rPr>
            <sz val="9"/>
            <color indexed="81"/>
            <rFont val="Tahoma"/>
            <family val="2"/>
          </rPr>
          <t xml:space="preserve">
8.2 Dilatation and curettage for heavy menstrual bleeding (HMB) </t>
        </r>
      </text>
    </comment>
    <comment ref="AI43" authorId="0" shapeId="0" xr:uid="{2C79CD90-0980-41F7-8DD1-FB792722AADF}">
      <text>
        <r>
          <rPr>
            <b/>
            <sz val="9"/>
            <color indexed="81"/>
            <rFont val="Tahoma"/>
            <family val="2"/>
          </rPr>
          <t>Jamie Smyth:</t>
        </r>
        <r>
          <rPr>
            <sz val="9"/>
            <color indexed="81"/>
            <rFont val="Tahoma"/>
            <family val="2"/>
          </rPr>
          <t xml:space="preserve">
Dilation and curettage for treatment of Menorrhagia is not funded. - Section 11A Page 26</t>
        </r>
      </text>
    </comment>
    <comment ref="AK43" authorId="0" shapeId="0" xr:uid="{B1D0B3DC-5E4A-4433-934F-0E51589DCD3D}">
      <text>
        <r>
          <rPr>
            <b/>
            <sz val="9"/>
            <color indexed="81"/>
            <rFont val="Tahoma"/>
            <family val="2"/>
          </rPr>
          <t>Jamie Smyth:</t>
        </r>
        <r>
          <rPr>
            <sz val="9"/>
            <color indexed="81"/>
            <rFont val="Tahoma"/>
            <family val="2"/>
          </rPr>
          <t xml:space="preserve">
1.12 Dilatation and curettage (D&amp;C) for heavy menstrual bleeding in women - page 6</t>
        </r>
      </text>
    </comment>
    <comment ref="AP43" authorId="142" shapeId="0" xr:uid="{0BE30684-995F-4F47-8C96-FCB0AEC2D744}">
      <text>
        <t>[Threaded comment]
Your version of Excel allows you to read this threaded comment; however, any edits to it will get removed if the file is opened in a newer version of Excel. Learn more: https://go.microsoft.com/fwlink/?linkid=870924
Comment:
    IFR - D&amp;C should not be used for diagnosis or treatment for heavy menstrual bleeding in women because it is clinically ineffective. https://int.sussex.ics.nhs.uk/clinical_documents/sussex-cec-clinical-policy/</t>
      </text>
    </comment>
    <comment ref="T44" authorId="143" shapeId="0" xr:uid="{616C7529-2931-4159-ABB0-13D043968D48}">
      <text>
        <t>[Threaded comment]
Your version of Excel allows you to read this threaded comment; however, any edits to it will get removed if the file is opened in a newer version of Excel. Learn more: https://go.microsoft.com/fwlink/?linkid=870924
Comment:
    Tick https://www.hwics.org.uk/application/files/2217/3694/3182/ICB_Primary_Care_Osteoporosis_Guidance_v2.0.pdf</t>
      </text>
    </comment>
    <comment ref="B45" authorId="144" shapeId="0" xr:uid="{E86AE0F9-157B-46EF-92EE-B58AD20724B5}">
      <text>
        <t>[Threaded comment]
Your version of Excel allows you to read this threaded comment; however, any edits to it will get removed if the file is opened in a newer version of Excel. Learn more: https://go.microsoft.com/fwlink/?linkid=870924
Comment:
    Described as “not routinely funded” - so would be N/A, or IFR?</t>
      </text>
    </comment>
    <comment ref="E45" authorId="145" shapeId="0" xr:uid="{AF635975-1376-4E70-9E9D-932A9DEBED2E}">
      <text>
        <t>[Threaded comment]
Your version of Excel allows you to read this threaded comment; however, any edits to it will get removed if the file is opened in a newer version of Excel. Learn more: https://go.microsoft.com/fwlink/?linkid=870924
Comment:
    Named but not recommended https://www.birminghamsolihull.icb.nhs.uk/application/files/4016/4863/7471/Policy_for_Low_Back_Pain_and_Radicular_Pain.pdf</t>
      </text>
    </comment>
    <comment ref="H45" authorId="146" shapeId="0" xr:uid="{EEB0D35F-3CEB-4F48-B130-9CE9115DF78B}">
      <text>
        <t>[Threaded comment]
Your version of Excel allows you to read this threaded comment; however, any edits to it will get removed if the file is opened in a newer version of Excel. Learn more: https://go.microsoft.com/fwlink/?linkid=870924
Comment:
    IFR https://www.bucksoxonberksw.icb.nhs.uk/media/4176/bobfpc52-management-of-low-back-pain-and-sciatica.pdf</t>
      </text>
    </comment>
    <comment ref="I45" authorId="147" shapeId="0" xr:uid="{B8A4B145-9FDE-4F19-979F-DF45222C27F3}">
      <text>
        <t>[Threaded comment]
Your version of Excel allows you to read this threaded comment; however, any edits to it will get removed if the file is opened in a newer version of Excel. Learn more: https://go.microsoft.com/fwlink/?linkid=870924
Comment:
    https://www.cpics.org.uk/clinical-policies/ IFR not funded - low back pain</t>
      </text>
    </comment>
    <comment ref="Q45" authorId="148" shapeId="0" xr:uid="{FC1607DC-D87D-4AA0-9F3A-1E21495F0A25}">
      <text>
        <t>[Threaded comment]
Your version of Excel allows you to read this threaded comment; however, any edits to it will get removed if the file is opened in a newer version of Excel. Learn more: https://go.microsoft.com/fwlink/?linkid=870924
Comment:
    IFR https://www.nhsglos.nhs.uk/wp-content/uploads/2024/06/Management-of-non-specific-lumbar-back-pain-and-or-radicular-pain-sciatica-in-patients-over-16-years-of-age.pdf</t>
      </text>
    </comment>
    <comment ref="T45" authorId="149" shapeId="0" xr:uid="{DDD7F97B-75EF-4A43-BA7D-4E5875C29234}">
      <text>
        <t>[Threaded comment]
Your version of Excel allows you to read this threaded comment; however, any edits to it will get removed if the file is opened in a newer version of Excel. Learn more: https://go.microsoft.com/fwlink/?linkid=870924
Comment:
    IFR https://www.hwics.org.uk/application/files/2117/0904/4510/ICB_MSK_Surgery_and_Therapy_V1.5_Final_6.pdf</t>
      </text>
    </comment>
    <comment ref="Y45" authorId="150" shapeId="0" xr:uid="{55AF9094-D461-4184-AD28-275BB965B510}">
      <text>
        <t>[Threaded comment]
Your version of Excel allows you to read this threaded comment; however, any edits to it will get removed if the file is opened in a newer version of Excel. Learn more: https://go.microsoft.com/fwlink/?linkid=870924
Comment:
    IFR https://leicesterleicestershireandrutland.icb.nhs.uk/llr-policy-for-surgical-intervention-for-low-back-pain/</t>
      </text>
    </comment>
    <comment ref="AB45" authorId="151" shapeId="0" xr:uid="{CF558CC9-02A3-43D2-9F77-005399363C60}">
      <text>
        <t>[Threaded comment]
Your version of Excel allows you to read this threaded comment; however, any edits to it will get removed if the file is opened in a newer version of Excel. Learn more: https://go.microsoft.com/fwlink/?linkid=870924
Comment:
    IFR https://nwknowledgenow.nhs.uk/content/low-back-pain-other-procedures/</t>
      </text>
    </comment>
    <comment ref="AF45" authorId="152" shapeId="0" xr:uid="{61135C52-07AD-4346-BDC1-3B86DCB46567}">
      <text>
        <t>[Threaded comment]
Your version of Excel allows you to read this threaded comment; however, any edits to it will get removed if the file is opened in a newer version of Excel. Learn more: https://go.microsoft.com/fwlink/?linkid=870924
Comment:
    IFR https://www.nwlondonicb.nhs.uk/application/files/7416/7664/3313/Low_Back_Pain_and_Sciatica_Policy_v7.pdf</t>
      </text>
    </comment>
    <comment ref="AI45" authorId="153" shapeId="0" xr:uid="{0874B328-E380-4A44-B50A-D4452AEA332A}">
      <text>
        <t xml:space="preserve">[Threaded comment]
Your version of Excel allows you to read this threaded comment; however, any edits to it will get removed if the file is opened in a newer version of Excel. Learn more: https://go.microsoft.com/fwlink/?linkid=870924
Comment:
    • Disc replacement in people with low back pain  - IFR </t>
      </text>
    </comment>
    <comment ref="AM45" authorId="154" shapeId="0" xr:uid="{0E4C8720-2A17-4292-808B-22E00D9CFD5B}">
      <text>
        <t>[Threaded comment]
Your version of Excel allows you to read this threaded comment; however, any edits to it will get removed if the file is opened in a newer version of Excel. Learn more: https://go.microsoft.com/fwlink/?linkid=870924
Comment:
    IFR - “Disc replacement will not routinely be funded for patients with non-specific low back pain ” https://staffsstoke.icb.nhs.uk/your-nhs-integrated-care-board/our-publications/governance-handbook/all-policies/commissioning/icb-excluded-and-restricted-procedures-policy-v3-1/?layout=file</t>
      </text>
    </comment>
    <comment ref="A46" authorId="0" shapeId="0" xr:uid="{F55B43D8-958E-41BC-9A1D-CB58B252C834}">
      <text>
        <r>
          <rPr>
            <b/>
            <sz val="9"/>
            <color indexed="81"/>
            <rFont val="Tahoma"/>
            <family val="2"/>
          </rPr>
          <t>Jamie Smyth:</t>
        </r>
        <r>
          <rPr>
            <sz val="9"/>
            <color indexed="81"/>
            <rFont val="Tahoma"/>
            <family val="2"/>
          </rPr>
          <t xml:space="preserve">
Not sure what the difference is between this and spinal decompression - in SWL EBI policy, criteria is same for both procedures and discectomy is a form of spinal decompression surgery</t>
        </r>
      </text>
    </comment>
    <comment ref="B46" authorId="5" shapeId="0" xr:uid="{AC65F7FF-645F-4233-9529-64C8BB39FF19}">
      <text>
        <r>
          <rPr>
            <b/>
            <sz val="9"/>
            <color indexed="81"/>
            <rFont val="Tahoma"/>
            <family val="2"/>
          </rPr>
          <t>Ogier, Anna S:</t>
        </r>
        <r>
          <rPr>
            <sz val="9"/>
            <color indexed="81"/>
            <rFont val="Tahoma"/>
            <family val="2"/>
          </rPr>
          <t xml:space="preserve">
Open is routinely funded, closed is not.</t>
        </r>
      </text>
    </comment>
    <comment ref="E46" authorId="0" shapeId="0" xr:uid="{6355DC41-B759-4CA2-BFAC-406EA813377C}">
      <text>
        <r>
          <rPr>
            <b/>
            <sz val="9"/>
            <color indexed="81"/>
            <rFont val="Tahoma"/>
            <family val="2"/>
          </rPr>
          <t>Jamie Smyth:</t>
        </r>
        <r>
          <rPr>
            <sz val="9"/>
            <color indexed="81"/>
            <rFont val="Tahoma"/>
            <family val="2"/>
          </rPr>
          <t xml:space="preserve">
Under "Options to consider" in lower back pain policy</t>
        </r>
      </text>
    </comment>
    <comment ref="G46" authorId="0" shapeId="0" xr:uid="{05283EF0-7593-4A5B-9813-599982640006}">
      <text>
        <r>
          <rPr>
            <b/>
            <sz val="9"/>
            <color indexed="81"/>
            <rFont val="Tahoma"/>
            <family val="2"/>
          </rPr>
          <t>Jamie Smyth:</t>
        </r>
        <r>
          <rPr>
            <sz val="9"/>
            <color indexed="81"/>
            <rFont val="Tahoma"/>
            <family val="2"/>
          </rPr>
          <t xml:space="preserve">
Referral for Assessment for Spinal Surgical Opinion policy. AO: https://bnssghealthiertogether.org.uk/wp-content/uploads/2015/09/Spinal-Surgical-Opinion-BNSSG-3-24-25-1.pdf unable to find ref to discectomy</t>
        </r>
      </text>
    </comment>
    <comment ref="H46" authorId="0" shapeId="0" xr:uid="{BDF276D8-23F9-4E76-8455-854C4D4D40C9}">
      <text>
        <r>
          <rPr>
            <b/>
            <sz val="9"/>
            <color indexed="81"/>
            <rFont val="Tahoma"/>
            <family val="2"/>
          </rPr>
          <t>Jamie Smyth:</t>
        </r>
        <r>
          <rPr>
            <sz val="9"/>
            <color indexed="81"/>
            <rFont val="Tahoma"/>
            <family val="2"/>
          </rPr>
          <t xml:space="preserve">
Management of Low Back Pain and Sciatica policy (page 2)</t>
        </r>
      </text>
    </comment>
    <comment ref="K46" authorId="155" shapeId="0" xr:uid="{D0A41A79-E4D7-4A70-ABFB-282AE32BD0BE}">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M46" authorId="0" shapeId="0" xr:uid="{795CCED3-3A68-49D4-810E-83A07E963D6F}">
      <text>
        <r>
          <rPr>
            <b/>
            <sz val="9"/>
            <color indexed="81"/>
            <rFont val="Tahoma"/>
            <family val="2"/>
          </rPr>
          <t>Jamie Smyth:</t>
        </r>
        <r>
          <rPr>
            <sz val="9"/>
            <color indexed="81"/>
            <rFont val="Tahoma"/>
            <family val="2"/>
          </rPr>
          <t xml:space="preserve">
Spinal Decompression for Sciatica Policy </t>
        </r>
      </text>
    </comment>
    <comment ref="N46" authorId="0" shapeId="0" xr:uid="{4A631850-C098-4984-B985-92A7DA59CD78}">
      <text>
        <r>
          <rPr>
            <b/>
            <sz val="9"/>
            <color indexed="81"/>
            <rFont val="Tahoma"/>
            <family val="2"/>
          </rPr>
          <t>Jamie Smyth:</t>
        </r>
        <r>
          <rPr>
            <sz val="9"/>
            <color indexed="81"/>
            <rFont val="Tahoma"/>
            <family val="2"/>
          </rPr>
          <t xml:space="preserve">
Lumbar Discectomy for the
management of sciatica policy </t>
        </r>
      </text>
    </comment>
    <comment ref="O46" authorId="0" shapeId="0" xr:uid="{B0AB3114-B426-4E96-A791-653280374D88}">
      <text>
        <r>
          <rPr>
            <b/>
            <sz val="9"/>
            <color indexed="81"/>
            <rFont val="Tahoma"/>
            <family val="2"/>
          </rPr>
          <t>Jamie Smyth:</t>
        </r>
        <r>
          <rPr>
            <sz val="9"/>
            <color indexed="81"/>
            <rFont val="Tahoma"/>
            <family val="2"/>
          </rPr>
          <t xml:space="preserve">
Lumbar Discectomy  policy
</t>
        </r>
      </text>
    </comment>
    <comment ref="S46" authorId="156" shapeId="0" xr:uid="{04EE37B5-ACE4-4DBE-82E8-9E5D0690F318}">
      <text>
        <t>[Threaded comment]
Your version of Excel allows you to read this threaded comment; however, any edits to it will get removed if the file is opened in a newer version of Excel. Learn more: https://go.microsoft.com/fwlink/?linkid=870924
Comment:
    Not funded https://fundingrequests.scwcsu.nhs.uk/wp-content/uploads/2021/10/Policy-60-Spinal-pain-v2.0.pdf</t>
      </text>
    </comment>
    <comment ref="T46" authorId="0" shapeId="0" xr:uid="{DCADFBAB-360B-4C2D-A448-F3F248B223E0}">
      <text>
        <r>
          <rPr>
            <b/>
            <sz val="9"/>
            <color indexed="81"/>
            <rFont val="Tahoma"/>
            <family val="2"/>
          </rPr>
          <t>Jamie Smyth:</t>
        </r>
        <r>
          <rPr>
            <sz val="9"/>
            <color indexed="81"/>
            <rFont val="Tahoma"/>
            <family val="2"/>
          </rPr>
          <t xml:space="preserve">
Management of Musculo-Skeletal Conditions - Commissioning Policy v1.5 - Spinal decompression section</t>
        </r>
      </text>
    </comment>
    <comment ref="V46" authorId="0" shapeId="0" xr:uid="{22D5E149-DA34-4FC0-A83F-50F0519313B6}">
      <text>
        <r>
          <rPr>
            <b/>
            <sz val="9"/>
            <color indexed="81"/>
            <rFont val="Tahoma"/>
            <family val="2"/>
          </rPr>
          <t>Jamie Smyth:</t>
        </r>
        <r>
          <rPr>
            <sz val="9"/>
            <color indexed="81"/>
            <rFont val="Tahoma"/>
            <family val="2"/>
          </rPr>
          <t xml:space="preserve">
Can't find mention of Specific policies</t>
        </r>
      </text>
    </comment>
    <comment ref="AA46" authorId="0" shapeId="0" xr:uid="{27DA42EC-E083-48C2-BA32-DC5ABF628C0A}">
      <text>
        <r>
          <rPr>
            <b/>
            <sz val="9"/>
            <color indexed="81"/>
            <rFont val="Tahoma"/>
            <family val="2"/>
          </rPr>
          <t>Jamie Smyth:</t>
        </r>
        <r>
          <rPr>
            <sz val="9"/>
            <color indexed="81"/>
            <rFont val="Tahoma"/>
            <family val="2"/>
          </rPr>
          <t xml:space="preserve">
https://www.midandsouthessex.ics.nhs.uk/publications/srp-096-spinal-surgery-for-non-acute-lumbar-conditions/</t>
        </r>
      </text>
    </comment>
    <comment ref="AE46" authorId="0" shapeId="0" xr:uid="{B06D0621-3866-4D4D-8082-69E22F7F9CA0}">
      <text>
        <r>
          <rPr>
            <b/>
            <sz val="9"/>
            <color indexed="81"/>
            <rFont val="Tahoma"/>
            <family val="2"/>
          </rPr>
          <t>Jamie Smyth:</t>
        </r>
        <r>
          <rPr>
            <sz val="9"/>
            <color indexed="81"/>
            <rFont val="Tahoma"/>
            <family val="2"/>
          </rPr>
          <t xml:space="preserve">
Interventional treatments for back pain   - Page 42</t>
        </r>
      </text>
    </comment>
    <comment ref="AM46" authorId="0" shapeId="0" xr:uid="{4CF306B8-6093-422E-859A-AAF5DAA016D3}">
      <text>
        <r>
          <rPr>
            <b/>
            <sz val="9"/>
            <color indexed="81"/>
            <rFont val="Tahoma"/>
            <family val="2"/>
          </rPr>
          <t>Jamie Smyth:</t>
        </r>
        <r>
          <rPr>
            <sz val="9"/>
            <color indexed="81"/>
            <rFont val="Tahoma"/>
            <family val="2"/>
          </rPr>
          <t xml:space="preserve">
Lumbar Radicular Pain - Page 108</t>
        </r>
      </text>
    </comment>
    <comment ref="AN46" authorId="0" shapeId="0" xr:uid="{A552F6B6-C0F4-4E0F-BE9D-60C2C3708444}">
      <text>
        <r>
          <rPr>
            <b/>
            <sz val="9"/>
            <color indexed="81"/>
            <rFont val="Tahoma"/>
            <family val="2"/>
          </rPr>
          <t>Jamie Smyth:</t>
        </r>
        <r>
          <rPr>
            <sz val="9"/>
            <color indexed="81"/>
            <rFont val="Tahoma"/>
            <family val="2"/>
          </rPr>
          <t xml:space="preserve">
Spinal Surgery for Non-Acute Lumbar Conditions - Page 159</t>
        </r>
      </text>
    </comment>
    <comment ref="AQ46" authorId="0" shapeId="0" xr:uid="{15F848DC-79DA-4CBB-9485-D1A95246F500}">
      <text>
        <r>
          <rPr>
            <b/>
            <sz val="9"/>
            <color indexed="81"/>
            <rFont val="Tahoma"/>
            <family val="2"/>
          </rPr>
          <t>Jamie Smyth:</t>
        </r>
        <r>
          <rPr>
            <sz val="9"/>
            <color indexed="81"/>
            <rFont val="Tahoma"/>
            <family val="2"/>
          </rPr>
          <t xml:space="preserve">
Spinal surgery assessment (11.2024) policy"</t>
        </r>
      </text>
    </comment>
    <comment ref="T47" authorId="157" shapeId="0" xr:uid="{D5C2AFA3-3219-4884-9E5B-A5613C98FA01}">
      <text>
        <t>[Threaded comment]
Your version of Excel allows you to read this threaded comment; however, any edits to it will get removed if the file is opened in a newer version of Excel. Learn more: https://go.microsoft.com/fwlink/?linkid=870924
Comment:
    Tick https://www.hwics.org.uk/application/files/7817/4306/4128/ICB_Non_Invasive_Ventiliation_Position_Statement_v1.4.pdf</t>
      </text>
    </comment>
    <comment ref="B48" authorId="5" shapeId="0" xr:uid="{A7C8E3C7-7B1A-41F3-B11A-3CAA66C5F00D}">
      <text>
        <r>
          <rPr>
            <b/>
            <sz val="9"/>
            <color indexed="81"/>
            <rFont val="Tahoma"/>
            <family val="2"/>
          </rPr>
          <t>Ogier, Anna S:</t>
        </r>
        <r>
          <rPr>
            <sz val="9"/>
            <color indexed="81"/>
            <rFont val="Tahoma"/>
            <family val="2"/>
          </rPr>
          <t xml:space="preserve">
Open is routinely funded, closed is not.</t>
        </r>
      </text>
    </comment>
    <comment ref="Y48" authorId="158" shapeId="0" xr:uid="{422C65B5-2ABA-419E-BA27-21F7D1FBCA7D}">
      <text>
        <t>[Threaded comment]
Your version of Excel allows you to read this threaded comment; however, any edits to it will get removed if the file is opened in a newer version of Excel. Learn more: https://go.microsoft.com/fwlink/?linkid=870924
Comment:
    Cannot find policy https://leicesterleicestershireandrutland.icb.nhs.uk/your-health/healthcare-and-treatment-policies/</t>
      </text>
    </comment>
    <comment ref="C49" authorId="5" shapeId="0" xr:uid="{1DA7DA72-06DD-4E87-97C9-1A9D6C57E65D}">
      <text>
        <r>
          <rPr>
            <b/>
            <sz val="9"/>
            <color indexed="81"/>
            <rFont val="Tahoma"/>
            <family val="2"/>
          </rPr>
          <t>Ogier, Anna S:</t>
        </r>
        <r>
          <rPr>
            <sz val="9"/>
            <color indexed="81"/>
            <rFont val="Tahoma"/>
            <family val="2"/>
          </rPr>
          <t xml:space="preserve">
"The SWL ICB will not routinely fund this procedure for the removal of anal skin tags"
- Does link to Minor Skin Lesions policy which gives criteria for removal</t>
        </r>
      </text>
    </comment>
    <comment ref="J49" authorId="159" shapeId="0" xr:uid="{01379503-9257-4E0A-BEA4-5E7B568D12CB}">
      <text>
        <t>[Threaded comment]
Your version of Excel allows you to read this threaded comment; however, any edits to it will get removed if the file is opened in a newer version of Excel. Learn more: https://go.microsoft.com/fwlink/?linkid=870924
Comment:
    https://www.cheshireandmerseyside.nhs.uk/media/difo11i1/pol-clin057-interim-policy-ear-wax-removal-secondary-care-referral-final-v04.pdf IFR</t>
      </text>
    </comment>
    <comment ref="T49" authorId="160" shapeId="0" xr:uid="{A25D6805-DD96-46A1-9556-8A4F338C3E6D}">
      <text>
        <t>[Threaded comment]
Your version of Excel allows you to read this threaded comment; however, any edits to it will get removed if the file is opened in a newer version of Excel. Learn more: https://go.microsoft.com/fwlink/?linkid=870924
Comment:
    https://www.hwics.org.uk/application/files/3817/1559/9701/Ear_Canal_Clearance_Guidance_v2.0-13052024.pdf tick</t>
      </text>
    </comment>
    <comment ref="V49" authorId="161" shapeId="0" xr:uid="{828EB5DE-8474-4CAB-B6A4-4E8E45BF1F4B}">
      <text>
        <t>[Threaded comment]
Your version of Excel allows you to read this threaded comment; however, any edits to it will get removed if the file is opened in a newer version of Excel. Learn more: https://go.microsoft.com/fwlink/?linkid=870924
Comment:
    IFR https://humberandnorthyorkshire.icb.nhs.uk/wp-content/uploads/2025/04/089-Irrigation-of-the-external-Auditory-Canal.docx</t>
      </text>
    </comment>
    <comment ref="Z49" authorId="162" shapeId="0" xr:uid="{18D8C314-03C0-4643-A593-DEC90755F337}">
      <text>
        <t>[Threaded comment]
Your version of Excel allows you to read this threaded comment; however, any edits to it will get removed if the file is opened in a newer version of Excel. Learn more: https://go.microsoft.com/fwlink/?linkid=870924
Comment:
    Tick https://lincolnshire.icb.nhs.uk/~documents/icb-publications/our-policies-and-procedures/clinical-governance/cg-003-prior-approval-policy/?layout=file</t>
      </text>
    </comment>
    <comment ref="AG49" authorId="163" shapeId="0" xr:uid="{98C82D1E-955D-4059-8D2E-039BDE155923}">
      <text>
        <t>[Threaded comment]
Your version of Excel allows you to read this threaded comment; however, any edits to it will get removed if the file is opened in a newer version of Excel. Learn more: https://go.microsoft.com/fwlink/?linkid=870924
Comment:
    Tick https://www.icnorthamptonshire.org.uk/download.cfm?doc=docm93jijm4n19783&amp;ver=65862</t>
      </text>
    </comment>
    <comment ref="AQ49" authorId="164" shapeId="0" xr:uid="{3290EDC8-212E-4907-B49C-1E96385F3D6C}">
      <text>
        <t>[Threaded comment]
Your version of Excel allows you to read this threaded comment; however, any edits to it will get removed if the file is opened in a newer version of Excel. Learn more: https://go.microsoft.com/fwlink/?linkid=870924
Comment:
    Tick https://www.wypartnership.co.uk/application/files/3917/4672/5401/WY_ICB_Ear_Wax_Removal_Policy_05.2025.pdf</t>
      </text>
    </comment>
    <comment ref="F50" authorId="165" shapeId="0" xr:uid="{BB0FDD9A-4970-4EBB-B135-1AC84094BEF1}">
      <text>
        <t>[Threaded comment]
Your version of Excel allows you to read this threaded comment; however, any edits to it will get removed if the file is opened in a newer version of Excel. Learn more: https://go.microsoft.com/fwlink/?linkid=870924
Comment:
    Exercise ECG (Electrocardiogram) for screening for Coronary Heart Disease (CHD) - outpatients
Common test looking at how your heart works when you’re exercising, maybe used to find out if Coronary Heart Disease is present.
https://blackcountry.icb.nhs.uk/have-your-say/get-involved/current-consultations-and-engagement/clinical-policy-review2</t>
      </text>
    </comment>
    <comment ref="K50" authorId="166" shapeId="0" xr:uid="{7AB67767-8228-4163-9FD5-B00DBC06C7CC}">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Z50" authorId="167" shapeId="0" xr:uid="{8CF84F5D-D5FA-47E2-9327-E980B61BC7EB}">
      <text>
        <t>[Threaded comment]
Your version of Excel allows you to read this threaded comment; however, any edits to it will get removed if the file is opened in a newer version of Excel. Learn more: https://go.microsoft.com/fwlink/?linkid=870924
Comment:
    Tick EBI https://lincolnshire.icb.nhs.uk/~documents/icb-publications/our-policies-and-procedures/clinical-governance/cg-003-prior-approval-policy/?layout=file</t>
      </text>
    </comment>
    <comment ref="AH50" authorId="168" shapeId="0" xr:uid="{DD0144A7-C178-4C4C-88DE-0773F485290A}">
      <text>
        <t xml:space="preserve">[Threaded comment]
Your version of Excel allows you to read this threaded comment; however, any edits to it will get removed if the file is opened in a newer version of Excel. Learn more: https://go.microsoft.com/fwlink/?linkid=870924
Comment:
    https://notts.icb.nhs.uk/wp-content/uploads/sites/2/2022/04/Value-Based-Commissioning-PolicyV1.4-2.pdf Exercise ECG for screening of coronary heart disease Category: (IFR / Prior Approval / Monitored Approval) Monitored Local or National EBI (Evidence Based Interventions) Policy: National EBI </t>
      </text>
    </comment>
    <comment ref="F51" authorId="169" shapeId="0" xr:uid="{9048F530-0B6E-4AC1-B54F-9F5A52B42779}">
      <text>
        <t>[Threaded comment]
Your version of Excel allows you to read this threaded comment; however, any edits to it will get removed if the file is opened in a newer version of Excel. Learn more: https://go.microsoft.com/fwlink/?linkid=870924
Comment:
    https://blackcountry.icb.nhs.uk/have-your-say/get-involved/current-consultations-and-engagement/clinical-policy-review2 Pre-operative ECG part of EBI</t>
      </text>
    </comment>
    <comment ref="K51" authorId="170" shapeId="0" xr:uid="{83E3D2BE-657C-44CD-8A25-82F1D7372588}">
      <text>
        <t>[Threaded comment]
Your version of Excel allows you to read this threaded comment; however, any edits to it will get removed if the file is opened in a newer version of Excel. Learn more: https://go.microsoft.com/fwlink/?linkid=870924
Comment:
    Criteria https://docs.cios.icb.nhs.uk/DocumentsLibrary/NHSCornwallAndIslesOfScilly/Services/IndividualFundingRequests/CommissioningPolicies.pdf</t>
      </text>
    </comment>
    <comment ref="T51" authorId="171" shapeId="0" xr:uid="{9F268600-F96A-46E2-B124-C7D76AEE8FDB}">
      <text>
        <t>[Threaded comment]
Your version of Excel allows you to read this threaded comment; however, any edits to it will get removed if the file is opened in a newer version of Excel. Learn more: https://go.microsoft.com/fwlink/?linkid=870924
Comment:
    https://www.hwics.org.uk/application/files/8217/4117/1631/ICB_Pre-op_Chest_X-ray__ECG_Position_Statement_v1.2_final.pdfhttps://www.hwics.org.uk/application/files/8217/4117/1631/ICB_Pre-op_Chest_X-ray__ECG_Position_Statement_v1.2_final.pdf tick</t>
      </text>
    </comment>
    <comment ref="J52" authorId="172" shapeId="0" xr:uid="{F09B5281-C4EB-49F4-902C-FF55C8B4C531}">
      <text>
        <t>[Threaded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https://www.cheshireandmerseyside.nhs.uk/media/52yeoph3/pol-clin096-blephptosis-final-v03.pdf</t>
      </text>
    </comment>
    <comment ref="K52" authorId="173" shapeId="0" xr:uid="{152628F8-B0B2-4359-921C-5DA81705B4C8}">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L52" authorId="174" shapeId="0" xr:uid="{60EEA8B6-5BB2-4DAE-9A07-F2BC8DF61C8A}">
      <text>
        <t>[Threaded comment]
Your version of Excel allows you to read this threaded comment; however, any edits to it will get removed if the file is opened in a newer version of Excel. Learn more: https://go.microsoft.com/fwlink/?linkid=870924
Comment:
    Tick https://www.happyhealthylives.uk/clientfiles/files/document_library/Treatments%20Designed%20to%20Improve%20Aesthetic%20Appearance%20Policy.pdf</t>
      </text>
    </comment>
    <comment ref="M52" authorId="175" shapeId="0" xr:uid="{9E736365-F234-4D05-99FB-064540FCB358}">
      <text>
        <t>[Threaded comment]
Your version of Excel allows you to read this threaded comment; however, any edits to it will get removed if the file is opened in a newer version of Excel. Learn more: https://go.microsoft.com/fwlink/?linkid=870924
Comment:
    Tick https://www.derbyshiremedicinesmanagement.nhs.uk/assets/Clinical-Policies/Clinical_Policies/Cosmetic/cosmetic/Blepharoplasty.pdf</t>
      </text>
    </comment>
    <comment ref="N52" authorId="176" shapeId="0" xr:uid="{A2593527-1FD5-4695-86B2-F08E2E05746A}">
      <text>
        <t xml:space="preserve">[Threaded comment]
Your version of Excel allows you to read this threaded comment; however, any edits to it will get removed if the file is opened in a newer version of Excel. Learn more: https://go.microsoft.com/fwlink/?linkid=870924
Comment:
    Criteria based Blepharoplasty (Upper and Lower lid) including Brow Lift
</t>
      </text>
    </comment>
    <comment ref="V52" authorId="177" shapeId="0" xr:uid="{AF1819DE-91CE-4E78-8CD3-E23637747D10}">
      <text>
        <t>[Threaded comment]
Your version of Excel allows you to read this threaded comment; however, any edits to it will get removed if the file is opened in a newer version of Excel. Learn more: https://go.microsoft.com/fwlink/?linkid=870924
Comment:
    https://humberandnorthyorkshire.icb.nhs.uk/wp-content/uploads/2024/12/Eyelid-Surgery-Blepharoplasty.docx tick</t>
      </text>
    </comment>
    <comment ref="Y52" authorId="178" shapeId="0" xr:uid="{CAB1D404-AF41-4B07-9481-21B337CEF21D}">
      <text>
        <t>[Threaded comment]
Your version of Excel allows you to read this threaded comment; however, any edits to it will get removed if the file is opened in a newer version of Excel. Learn more: https://go.microsoft.com/fwlink/?linkid=870924
Comment:
    Under bleph policy - tick https://leicesterleicestershireandrutland.icb.nhs.uk/llr-policy-for-blepharoplasty/</t>
      </text>
    </comment>
    <comment ref="Z52" authorId="179" shapeId="0" xr:uid="{A33DB207-F254-44CB-8DED-584E434C6A1B}">
      <text>
        <t>[Threaded comment]
Your version of Excel allows you to read this threaded comment; however, any edits to it will get removed if the file is opened in a newer version of Excel. Learn more: https://go.microsoft.com/fwlink/?linkid=870924
Comment:
    https://lincolnshire.icb.nhs.uk/~documents/icb-publications/our-policies-and-procedures/clinical-governance/cg-003-prior-approval-policy/?layout=file tick</t>
      </text>
    </comment>
    <comment ref="AB52" authorId="180" shapeId="0" xr:uid="{E2DCAFF8-895F-4F98-A4F5-1DFBBAD2DEAE}">
      <text>
        <t>[Threaded comment]
Your version of Excel allows you to read this threaded comment; however, any edits to it will get removed if the file is opened in a newer version of Excel. Learn more: https://go.microsoft.com/fwlink/?linkid=870924
Comment:
    Tick https://nwknowledgenow.nhs.uk/content/eyelid-surgery/</t>
      </text>
    </comment>
    <comment ref="AF52" authorId="181" shapeId="0" xr:uid="{A5D01F32-F2AA-43B8-A160-B14BC4C0FD26}">
      <text>
        <t>[Threaded comment]
Your version of Excel allows you to read this threaded comment; however, any edits to it will get removed if the file is opened in a newer version of Excel. Learn more: https://go.microsoft.com/fwlink/?linkid=870924
Comment:
    Routinely provided under contract https://www.nwlondonicb.nhs.uk/application/files/6216/7664/3303/Blepharoplasty_v7.pdf</t>
      </text>
    </comment>
    <comment ref="AM52" authorId="182" shapeId="0" xr:uid="{4EA74D3C-A0D8-4842-837D-252C20E19B62}">
      <text>
        <t>[Threaded comment]
Your version of Excel allows you to read this threaded comment; however, any edits to it will get removed if the file is opened in a newer version of Excel. Learn more: https://go.microsoft.com/fwlink/?linkid=870924
Comment:
    Tick - Blepharoplasty https://staffsstoke.icb.nhs.uk/your-nhs-integrated-care-board/our-publications/governance-handbook/all-policies/commissioning/icb-excluded-and-restricted-procedures-policy-v3-1/?layout=file</t>
      </text>
    </comment>
    <comment ref="AO52" authorId="183" shapeId="0" xr:uid="{ED6C282B-5EB8-429D-B988-4EBA97A85EE6}">
      <text>
        <t>[Threaded comment]
Your version of Excel allows you to read this threaded comment; however, any edits to it will get removed if the file is opened in a newer version of Excel. Learn more: https://go.microsoft.com/fwlink/?linkid=870924
Comment:
    Covered in blepharopplasty policy https://www.surreyheartlands.org/tnrf2-ophthalmology</t>
      </text>
    </comment>
    <comment ref="AP52" authorId="184" shapeId="0" xr:uid="{55FEFB15-4456-42C0-921E-D0E9DC09105A}">
      <text>
        <t>[Threaded comment]
Your version of Excel allows you to read this threaded comment; however, any edits to it will get removed if the file is opened in a newer version of Excel. Learn more: https://go.microsoft.com/fwlink/?linkid=870924
Comment:
    Tick “Please note NHS Sussex supports the correction of ectropion and entropion where clinically indicated.” https://int.sussex.ics.nhs.uk/clinical_documents/sussex-cec-clinical-policy/</t>
      </text>
    </comment>
    <comment ref="B53" authorId="185" shapeId="0" xr:uid="{C2D6CC7B-DBF1-4476-B808-D6BDD7249E02}">
      <text>
        <t>[Threaded comment]
Your version of Excel allows you to read this threaded comment; however, any edits to it will get removed if the file is opened in a newer version of Excel. Learn more: https://go.microsoft.com/fwlink/?linkid=870924
Comment:
    Described as “not routinely funded” - IFR or N/A?</t>
      </text>
    </comment>
    <comment ref="AA53" authorId="186" shapeId="0" xr:uid="{39A0D11B-62CF-40BE-BCFD-DA63FC9DCCBF}">
      <text>
        <t>[Threaded comment]
Your version of Excel allows you to read this threaded comment; however, any edits to it will get removed if the file is opened in a newer version of Excel. Learn more: https://go.microsoft.com/fwlink/?linkid=870924
Comment:
    IFR https://www.midandsouthessex.ics.nhs.uk/publications/srp-043-endoscopic-laser-electrothermal-spinal-surgery/</t>
      </text>
    </comment>
    <comment ref="AB53" authorId="187" shapeId="0" xr:uid="{86B7C64D-35CE-4548-A89E-6EBB70952B8C}">
      <text>
        <t>[Threaded comment]
Your version of Excel allows you to read this threaded comment; however, any edits to it will get removed if the file is opened in a newer version of Excel. Learn more: https://go.microsoft.com/fwlink/?linkid=870924
Comment:
    IFR https://nwknowledgenow.nhs.uk/content/low-back-pain-other-procedures/</t>
      </text>
    </comment>
    <comment ref="AN53" authorId="188" shapeId="0" xr:uid="{7C07674A-E282-4801-88A0-F7C1F17D0BD5}">
      <text>
        <t>[Threaded comment]
Your version of Excel allows you to read this threaded comment; however, any edits to it will get removed if the file is opened in a newer version of Excel. Learn more: https://go.microsoft.com/fwlink/?linkid=870924
Comment:
    IFR “Therapeutic endoscopic division of epidural adhesions” https://suffolkandnortheastessex.icb.nhs.uk/about-us/our-policies/</t>
      </text>
    </comment>
    <comment ref="R54" authorId="189" shapeId="0" xr:uid="{D1F4CAFC-58C6-469F-BD97-D17E54F5ADEF}">
      <text>
        <t>[Threaded comment]
Your version of Excel allows you to read this threaded comment; however, any edits to it will get removed if the file is opened in a newer version of Excel. Learn more: https://go.microsoft.com/fwlink/?linkid=870924
Comment:
    IFR https://nhsgmgmicbsa.blob.core.windows.net/nhsgmgmicbblobstorage/GMEUR/Commissioning%20Statements/NHSGM%20-%20005.pdf</t>
      </text>
    </comment>
    <comment ref="AB54" authorId="190" shapeId="0" xr:uid="{A91A5D65-1B99-4821-8DCD-775AF577FB61}">
      <text>
        <t>[Threaded comment]
Your version of Excel allows you to read this threaded comment; however, any edits to it will get removed if the file is opened in a newer version of Excel. Learn more: https://go.microsoft.com/fwlink/?linkid=870924
Comment:
    IFR https://nwknowledgenow.nhs.uk/content/low-back-pain-other-procedures/</t>
      </text>
    </comment>
    <comment ref="AN54" authorId="191" shapeId="0" xr:uid="{2F5B24D8-8093-422B-8485-B4B87D7F96D0}">
      <text>
        <t>[Threaded comment]
Your version of Excel allows you to read this threaded comment; however, any edits to it will get removed if the file is opened in a newer version of Excel. Learn more: https://go.microsoft.com/fwlink/?linkid=870924
Comment:
    IFR “Endoscopic laser foraminoplasty ” https://suffolkandnortheastessex.icb.nhs.uk/about-us/our-policies/</t>
      </text>
    </comment>
    <comment ref="J56" authorId="192" shapeId="0" xr:uid="{FDAA6F32-CEF5-454B-908B-56E7BFBEC0DB}">
      <text>
        <t xml:space="preserve">[Threaded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https://www.cheshireandmerseyside.nhs.uk/media/52yeoph3/pol-clin096-blephptosis-final-v03.pdf
</t>
      </text>
    </comment>
    <comment ref="K56" authorId="193" shapeId="0" xr:uid="{59BBD8EE-8AB2-4725-BE71-2CC4AB1413EB}">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L56" authorId="194" shapeId="0" xr:uid="{95BB1C39-75E3-430F-905D-48707E54EF15}">
      <text>
        <t>[Threaded comment]
Your version of Excel allows you to read this threaded comment; however, any edits to it will get removed if the file is opened in a newer version of Excel. Learn more: https://go.microsoft.com/fwlink/?linkid=870924
Comment:
    Tick https://www.happyhealthylives.uk/clientfiles/files/document_library/Treatments%20Designed%20to%20Improve%20Aesthetic%20Appearance%20Policy.pdf</t>
      </text>
    </comment>
    <comment ref="M56" authorId="195" shapeId="0" xr:uid="{FC717237-D73C-4D06-881F-A0E29AD73388}">
      <text>
        <t>[Threaded comment]
Your version of Excel allows you to read this threaded comment; however, any edits to it will get removed if the file is opened in a newer version of Excel. Learn more: https://go.microsoft.com/fwlink/?linkid=870924
Comment:
    Tick https://www.derbyshiremedicinesmanagement.nhs.uk/assets/Clinical-Policies/Clinical_Policies/Cosmetic/cosmetic/Blepharoplasty.pdf</t>
      </text>
    </comment>
    <comment ref="N56" authorId="196" shapeId="0" xr:uid="{D79DF863-7D7D-4AA7-A1C5-2D2D01306EF0}">
      <text>
        <t xml:space="preserve">[Threaded comment]
Your version of Excel allows you to read this threaded comment; however, any edits to it will get removed if the file is opened in a newer version of Excel. Learn more: https://go.microsoft.com/fwlink/?linkid=870924
Comment:
    Criteria based Blepharoplasty (Upper and Lower lid) including Brow Lift
</t>
      </text>
    </comment>
    <comment ref="Q56" authorId="197" shapeId="0" xr:uid="{24A5E504-C2E3-4081-ADDA-44891F0C92A4}">
      <text>
        <t>[Threaded comment]
Your version of Excel allows you to read this threaded comment; however, any edits to it will get removed if the file is opened in a newer version of Excel. Learn more: https://go.microsoft.com/fwlink/?linkid=870924
Comment:
    https://www.nhsglos.nhs.uk/wp-content/uploads/2025/06/Blepharoplasty.pdf mentioned here
Reply:
    Therefore criteria based?</t>
      </text>
    </comment>
    <comment ref="R56" authorId="198" shapeId="0" xr:uid="{208C015C-8533-4D8E-958C-551065CF2609}">
      <text>
        <t>[Threaded comment]
Your version of Excel allows you to read this threaded comment; however, any edits to it will get removed if the file is opened in a newer version of Excel. Learn more: https://go.microsoft.com/fwlink/?linkid=870924
Comment:
    Criteria https://nhsgmgmicbsa.blob.core.windows.net/nhsgmgmicbblobstorage/GMEUR/Commissioning%20Statements/GM%20Dermatochalasis%20Commissioning%20Statement.pdf</t>
      </text>
    </comment>
    <comment ref="X56" authorId="199" shapeId="0" xr:uid="{BB8A0E13-3EBC-40F5-8506-45F57C8BE74C}">
      <text>
        <t>[Threaded comment]
Your version of Excel allows you to read this threaded comment; however, any edits to it will get removed if the file is opened in a newer version of Excel. Learn more: https://go.microsoft.com/fwlink/?linkid=870924
Comment:
    Mentioned as part of bleph surgery - tick - https://www.healthierlsc.co.uk/application/files/4816/8487/3599/LSCICB_Clin43_Policy_for_Cosmetic_Procedures_v3.2.pdf</t>
      </text>
    </comment>
    <comment ref="Y56" authorId="200" shapeId="0" xr:uid="{D61F0B63-9B6F-4EF3-BFAD-D2EC8A32FB64}">
      <text>
        <t>[Threaded comment]
Your version of Excel allows you to read this threaded comment; however, any edits to it will get removed if the file is opened in a newer version of Excel. Learn more: https://go.microsoft.com/fwlink/?linkid=870924
Comment:
    Under bleph policy - tick https://leicesterleicestershireandrutland.icb.nhs.uk/llr-policy-for-blepharoplasty/</t>
      </text>
    </comment>
    <comment ref="Z56" authorId="201" shapeId="0" xr:uid="{B988F707-B556-462F-9765-E0E48A075DC7}">
      <text>
        <t>[Threaded comment]
Your version of Excel allows you to read this threaded comment; however, any edits to it will get removed if the file is opened in a newer version of Excel. Learn more: https://go.microsoft.com/fwlink/?linkid=870924
Comment:
    Tick https://lincolnshire.icb.nhs.uk/~documents/icb-publications/our-policies-and-procedures/clinical-governance/cg-003-prior-approval-policy/?layout=file</t>
      </text>
    </comment>
    <comment ref="AB56" authorId="202" shapeId="0" xr:uid="{B62ECFD9-8617-45C6-85AD-313BCCC89D70}">
      <text>
        <t>[Threaded comment]
Your version of Excel allows you to read this threaded comment; however, any edits to it will get removed if the file is opened in a newer version of Excel. Learn more: https://go.microsoft.com/fwlink/?linkid=870924
Comment:
    Tick https://nwknowledgenow.nhs.uk/content/eyelid-surgery/</t>
      </text>
    </comment>
    <comment ref="AE56" authorId="203" shapeId="0" xr:uid="{256C501E-60A2-4760-8783-C094C02E55CA}">
      <text>
        <t xml:space="preserve">[Threaded comment]
Your version of Excel allows you to read this threaded comment; however, any edits to it will get removed if the file is opened in a newer version of Excel. Learn more: https://go.microsoft.com/fwlink/?linkid=870924
Comment:
    Tick - Section 1: Entropion Botox will be commissioned by NEL CCG for patients with INVOLUTIONAL entropion who meet one of the following criteria: 1. Have a corneal ulcer/keratopathy secondary to entropion OR 2. Where surgery is contraindicated due to medical co-morbidities not warranting cessation of anticoagulation OR 3. Patient with advanced dementia, who is not fir for surgery under local, with or without sedation or general anaesthesia </t>
      </text>
    </comment>
    <comment ref="AF56" authorId="204" shapeId="0" xr:uid="{E6CA4248-9E75-40AC-9250-B0635FE3E920}">
      <text>
        <t>[Threaded comment]
Your version of Excel allows you to read this threaded comment; however, any edits to it will get removed if the file is opened in a newer version of Excel. Learn more: https://go.microsoft.com/fwlink/?linkid=870924
Comment:
    Routinely provided under contract https://www.nwlondonicb.nhs.uk/application/files/6216/7664/3303/Blepharoplasty_v7.pdf</t>
      </text>
    </comment>
    <comment ref="AM56" authorId="205" shapeId="0" xr:uid="{47B5B368-CCF1-4878-9186-B54C4634BD64}">
      <text>
        <t>[Threaded comment]
Your version of Excel allows you to read this threaded comment; however, any edits to it will get removed if the file is opened in a newer version of Excel. Learn more: https://go.microsoft.com/fwlink/?linkid=870924
Comment:
    Tick - Blepharoplasty https://staffsstoke.icb.nhs.uk/your-nhs-integrated-care-board/our-publications/governance-handbook/all-policies/commissioning/icb-excluded-and-restricted-procedures-policy-v3-1/?layout=file</t>
      </text>
    </comment>
    <comment ref="AN56" authorId="206" shapeId="0" xr:uid="{5DB3666D-C70D-49AD-981E-F03F351FA1D5}">
      <text>
        <t>[Threaded comment]
Your version of Excel allows you to read this threaded comment; however, any edits to it will get removed if the file is opened in a newer version of Excel. Learn more: https://go.microsoft.com/fwlink/?linkid=870924
Comment:
    Tick - Lower eyelid blepharoplasty will be considered in the following conditions when the specified criteria are met. Defects predisposing to corneal or conjunctival irritation • There are defects predisposing to corneal or conjunctival irritation such as ectropion or entropion or lesions of the eyelid skin or lid margin.  https://suffolkandnortheastessex.icb.nhs.uk/about-us/our-policies/</t>
      </text>
    </comment>
    <comment ref="AO56" authorId="207" shapeId="0" xr:uid="{EAEF083B-4FDE-456A-9A8F-A6EDB675B9A6}">
      <text>
        <t>[Threaded comment]
Your version of Excel allows you to read this threaded comment; however, any edits to it will get removed if the file is opened in a newer version of Excel. Learn more: https://go.microsoft.com/fwlink/?linkid=870924
Comment:
    Covered in blepharopplasty policy https://www.surreyheartlands.org/tnrf2-ophthalmology</t>
      </text>
    </comment>
    <comment ref="AP56" authorId="208" shapeId="0" xr:uid="{0A088C4D-B6F7-41C9-9623-3E30888182F0}">
      <text>
        <t>[Threaded comment]
Your version of Excel allows you to read this threaded comment; however, any edits to it will get removed if the file is opened in a newer version of Excel. Learn more: https://go.microsoft.com/fwlink/?linkid=870924
Comment:
    Tick “Please note NHS Sussex supports the correction of ectropion and entropion where clinically indicated.” https://int.sussex.ics.nhs.uk/clinical_documents/sussex-cec-clinical-policy/</t>
      </text>
    </comment>
    <comment ref="C57" authorId="5" shapeId="0" xr:uid="{13E88B46-258C-471B-8F80-27AA51C2ECFF}">
      <text>
        <r>
          <rPr>
            <b/>
            <sz val="9"/>
            <color indexed="81"/>
            <rFont val="Tahoma"/>
            <family val="2"/>
          </rPr>
          <t>Ogier, Anna S:</t>
        </r>
        <r>
          <rPr>
            <sz val="9"/>
            <color indexed="81"/>
            <rFont val="Tahoma"/>
            <family val="2"/>
          </rPr>
          <t xml:space="preserve">
"The SWL ICB will not routinely fund this procedure for the removal of anal skin tags"
- Does link to Minor Skin Lesions policy which gives criteria for removal</t>
        </r>
      </text>
    </comment>
    <comment ref="E57" authorId="0" shapeId="0" xr:uid="{FCEC8502-683B-48C1-BB95-EEF1B73EB82C}">
      <text>
        <r>
          <rPr>
            <b/>
            <sz val="9"/>
            <color indexed="81"/>
            <rFont val="Tahoma"/>
            <family val="2"/>
          </rPr>
          <t>Jamie Smyth:</t>
        </r>
        <r>
          <rPr>
            <sz val="9"/>
            <color indexed="81"/>
            <rFont val="Tahoma"/>
            <family val="2"/>
          </rPr>
          <t xml:space="preserve">
Described under Low Back Pain Policy as "Not recommended</t>
        </r>
      </text>
    </comment>
    <comment ref="I57" authorId="0" shapeId="0" xr:uid="{6679CEA4-0AA5-46A9-8FAE-4D1B291B62C9}">
      <text>
        <r>
          <rPr>
            <b/>
            <sz val="9"/>
            <color indexed="81"/>
            <rFont val="Tahoma"/>
            <family val="2"/>
          </rPr>
          <t>Jamie Smyth:</t>
        </r>
        <r>
          <rPr>
            <sz val="9"/>
            <color indexed="81"/>
            <rFont val="Tahoma"/>
            <family val="2"/>
          </rPr>
          <t xml:space="preserve">
Surgery and Other Invasive Interventions for Low Back Pain Policy</t>
        </r>
      </text>
    </comment>
    <comment ref="J57" authorId="0" shapeId="0" xr:uid="{63CFE8F0-6894-48A6-ACAC-064BA58F1116}">
      <text>
        <r>
          <rPr>
            <b/>
            <sz val="9"/>
            <color indexed="81"/>
            <rFont val="Tahoma"/>
            <family val="2"/>
          </rPr>
          <t>Jamie Smyth:</t>
        </r>
        <r>
          <rPr>
            <sz val="9"/>
            <color indexed="81"/>
            <rFont val="Tahoma"/>
            <family val="2"/>
          </rPr>
          <t xml:space="preserve">
Spinal injections for low back pain policy</t>
        </r>
      </text>
    </comment>
    <comment ref="K57" authorId="209" shapeId="0" xr:uid="{0DD11EE1-65BE-45BB-B10D-5888D9A480DF}">
      <text>
        <t>[Threaded comment]
Your version of Excel allows you to read this threaded comment; however, any edits to it will get removed if the file is opened in a newer version of Excel. Learn more: https://go.microsoft.com/fwlink/?linkid=870924
Comment:
    Should be IFR https://docs.cios.icb.nhs.uk/DocumentsLibrary/NHSCornwallAndIslesOfScilly/Services/IndividualFundingRequests/CommissioningPolicies.pdf</t>
      </text>
    </comment>
    <comment ref="L57" authorId="0" shapeId="0" xr:uid="{6CD99866-DAD7-4A5E-8113-455AFC8FD7EB}">
      <text>
        <r>
          <rPr>
            <b/>
            <sz val="9"/>
            <color indexed="81"/>
            <rFont val="Tahoma"/>
            <family val="2"/>
          </rPr>
          <t>Jamie Smyth:</t>
        </r>
        <r>
          <rPr>
            <sz val="9"/>
            <color indexed="81"/>
            <rFont val="Tahoma"/>
            <family val="2"/>
          </rPr>
          <t xml:space="preserve">
Injections for Non-Specific BackPain (without) Sciatica Policy</t>
        </r>
      </text>
    </comment>
    <comment ref="N57" authorId="0" shapeId="0" xr:uid="{63867833-AC22-4BCC-942C-29F499D8A362}">
      <text>
        <r>
          <rPr>
            <b/>
            <sz val="9"/>
            <color indexed="81"/>
            <rFont val="Tahoma"/>
            <family val="2"/>
          </rPr>
          <t>Jamie Smyth:</t>
        </r>
        <r>
          <rPr>
            <sz val="9"/>
            <color indexed="81"/>
            <rFont val="Tahoma"/>
            <family val="2"/>
          </rPr>
          <t xml:space="preserve">
IFR for back pain without sciatica - funded with criteria for back pain with sciatica</t>
        </r>
      </text>
    </comment>
    <comment ref="O57" authorId="0" shapeId="0" xr:uid="{522A9E22-ADC1-4780-BEE8-83DA688E186B}">
      <text>
        <r>
          <rPr>
            <b/>
            <sz val="9"/>
            <color indexed="81"/>
            <rFont val="Tahoma"/>
            <family val="2"/>
          </rPr>
          <t>Jamie Smyth:</t>
        </r>
        <r>
          <rPr>
            <sz val="9"/>
            <color indexed="81"/>
            <rFont val="Tahoma"/>
            <family val="2"/>
          </rPr>
          <t xml:space="preserve">
Interventional Procedures In The Management Of Spinal Pain policy
</t>
        </r>
      </text>
    </comment>
    <comment ref="P57" authorId="0" shapeId="0" xr:uid="{9E6454EB-5DB0-4D7E-A850-C43DA7E4610D}">
      <text>
        <r>
          <rPr>
            <b/>
            <sz val="9"/>
            <color indexed="81"/>
            <rFont val="Tahoma"/>
            <family val="2"/>
          </rPr>
          <t>Jamie Smyth:</t>
        </r>
        <r>
          <rPr>
            <sz val="9"/>
            <color indexed="81"/>
            <rFont val="Tahoma"/>
            <family val="2"/>
          </rPr>
          <t xml:space="preserve">
Can't find mention of spinal policies</t>
        </r>
      </text>
    </comment>
    <comment ref="U57" authorId="0" shapeId="0" xr:uid="{3A7800D3-2AF9-484D-86DD-E73FAAEE3B6A}">
      <text>
        <r>
          <rPr>
            <b/>
            <sz val="9"/>
            <color indexed="81"/>
            <rFont val="Tahoma"/>
            <family val="2"/>
          </rPr>
          <t>Jamie Smyth:</t>
        </r>
        <r>
          <rPr>
            <sz val="9"/>
            <color indexed="81"/>
            <rFont val="Tahoma"/>
            <family val="2"/>
          </rPr>
          <t xml:space="preserve">
https://www.hweclinicalguidance.nhs.uk/clinical-policies/epidural-injections-and-therapeutic-nerve-blocks-for-lumbar-or-sacral-radiculopathy/. IFR: https://www.hweclinicalguidance.nhs.uk/all-clinical-areas-documents/search-results/injections-and-radiofrequency-denervation-for-non-specific-back-pain/ "The ICB will not routinely fund epidural injections for patients with non-specific low back pain.1"
In this scenario, the radiculopathy becomes the criteria</t>
        </r>
      </text>
    </comment>
    <comment ref="Y57" authorId="0" shapeId="0" xr:uid="{D0D3AF65-E1EA-4380-A8A3-FAC2C3A8385D}">
      <text>
        <r>
          <rPr>
            <b/>
            <sz val="9"/>
            <color indexed="81"/>
            <rFont val="Tahoma"/>
            <family val="2"/>
          </rPr>
          <t>Jamie Smyth:</t>
        </r>
        <r>
          <rPr>
            <sz val="9"/>
            <color indexed="81"/>
            <rFont val="Tahoma"/>
            <family val="2"/>
          </rPr>
          <t xml:space="preserve">
Policy for Epidural Injections for Radicular Pain (Sciatica)</t>
        </r>
      </text>
    </comment>
    <comment ref="AA57" authorId="0" shapeId="0" xr:uid="{5BE372E7-98BC-4543-AF0D-10AE83E04141}">
      <text>
        <r>
          <rPr>
            <b/>
            <sz val="9"/>
            <color indexed="81"/>
            <rFont val="Tahoma"/>
            <family val="2"/>
          </rPr>
          <t>Jamie Smyth:</t>
        </r>
        <r>
          <rPr>
            <sz val="9"/>
            <color indexed="81"/>
            <rFont val="Tahoma"/>
            <family val="2"/>
          </rPr>
          <t xml:space="preserve">
https://www.midandsouthessex.ics.nhs.uk/publications/srp-095-spinal-injections-for-low-back-pain-and-radicular-leg-pain/</t>
        </r>
      </text>
    </comment>
    <comment ref="AB57" authorId="0" shapeId="0" xr:uid="{E99D8C55-319B-43C7-B265-CBBCC549BD16}">
      <text>
        <r>
          <rPr>
            <b/>
            <sz val="9"/>
            <color indexed="81"/>
            <rFont val="Tahoma"/>
            <family val="2"/>
          </rPr>
          <t>Jamie Smyth:</t>
        </r>
        <r>
          <rPr>
            <sz val="9"/>
            <color indexed="81"/>
            <rFont val="Tahoma"/>
            <family val="2"/>
          </rPr>
          <t xml:space="preserve">
https://nwknowledgenow.nhs.uk/content/steroidal-epidural-injections-for-patients-with-acute-severe-sciatica/</t>
        </r>
      </text>
    </comment>
    <comment ref="AE57" authorId="0" shapeId="0" xr:uid="{73CB9F3A-DBD7-432F-89CA-88C56B5B552E}">
      <text>
        <r>
          <rPr>
            <b/>
            <sz val="9"/>
            <color indexed="81"/>
            <rFont val="Tahoma"/>
            <family val="2"/>
          </rPr>
          <t>Jamie Smyth:</t>
        </r>
        <r>
          <rPr>
            <sz val="9"/>
            <color indexed="81"/>
            <rFont val="Tahoma"/>
            <family val="2"/>
          </rPr>
          <t xml:space="preserve">
Interventional treatments for back pain   - Page 42</t>
        </r>
      </text>
    </comment>
    <comment ref="AF57" authorId="0" shapeId="0" xr:uid="{955C003A-7786-4E75-A7AD-F18C29976236}">
      <text>
        <r>
          <rPr>
            <b/>
            <sz val="9"/>
            <color indexed="81"/>
            <rFont val="Tahoma"/>
            <family val="2"/>
          </rPr>
          <t>Jamie Smyth:</t>
        </r>
        <r>
          <rPr>
            <sz val="9"/>
            <color indexed="81"/>
            <rFont val="Tahoma"/>
            <family val="2"/>
          </rPr>
          <t xml:space="preserve">
Low Back Pain and Sciatica Policy v7.pdf</t>
        </r>
      </text>
    </comment>
    <comment ref="AG57" authorId="0" shapeId="0" xr:uid="{E2CEABA8-076F-49D2-BBBB-D648A73A2176}">
      <text>
        <r>
          <rPr>
            <b/>
            <sz val="9"/>
            <color indexed="81"/>
            <rFont val="Tahoma"/>
            <family val="2"/>
          </rPr>
          <t>Jamie Smyth:</t>
        </r>
        <r>
          <rPr>
            <sz val="9"/>
            <color indexed="81"/>
            <rFont val="Tahoma"/>
            <family val="2"/>
          </rPr>
          <t xml:space="preserve">
https://www.icnorthamptonshire.org.uk/documents?media_item=19773&amp;media_type=10#file-viewer</t>
        </r>
      </text>
    </comment>
    <comment ref="AJ57" authorId="0" shapeId="0" xr:uid="{D6D97FA9-3A3E-44FD-8D9A-F05029E99076}">
      <text>
        <r>
          <rPr>
            <b/>
            <sz val="9"/>
            <color indexed="81"/>
            <rFont val="Tahoma"/>
            <family val="2"/>
          </rPr>
          <t>Jamie Smyth:</t>
        </r>
        <r>
          <rPr>
            <sz val="9"/>
            <color indexed="81"/>
            <rFont val="Tahoma"/>
            <family val="2"/>
          </rPr>
          <t xml:space="preserve">
Low Back Pain with or without Sciatica Policy</t>
        </r>
      </text>
    </comment>
    <comment ref="AM57" authorId="0" shapeId="0" xr:uid="{D6104950-3FFA-4B87-8069-7F62397C01DE}">
      <text>
        <r>
          <rPr>
            <b/>
            <sz val="9"/>
            <color indexed="81"/>
            <rFont val="Tahoma"/>
            <family val="2"/>
          </rPr>
          <t>Jamie Smyth:</t>
        </r>
        <r>
          <rPr>
            <sz val="9"/>
            <color indexed="81"/>
            <rFont val="Tahoma"/>
            <family val="2"/>
          </rPr>
          <t xml:space="preserve">
Lumbar Radicular Pain - Page 106</t>
        </r>
      </text>
    </comment>
    <comment ref="AN57" authorId="0" shapeId="0" xr:uid="{DFEF3B57-43A1-4203-8C5B-24CEC34A6269}">
      <text>
        <r>
          <rPr>
            <b/>
            <sz val="9"/>
            <color indexed="81"/>
            <rFont val="Tahoma"/>
            <family val="2"/>
          </rPr>
          <t>Jamie Smyth:</t>
        </r>
        <r>
          <rPr>
            <sz val="9"/>
            <color indexed="81"/>
            <rFont val="Tahoma"/>
            <family val="2"/>
          </rPr>
          <t xml:space="preserve">
Therapeutic epidural
injection or nerve root
block for radicular pain
(sciatica) - Prior Approval. Page 61</t>
        </r>
      </text>
    </comment>
    <comment ref="AO57" authorId="0" shapeId="0" xr:uid="{986EA0C5-B50C-474F-9953-67310BC9314C}">
      <text>
        <r>
          <rPr>
            <b/>
            <sz val="9"/>
            <color indexed="81"/>
            <rFont val="Tahoma"/>
            <family val="2"/>
          </rPr>
          <t>Jamie Smyth:</t>
        </r>
        <r>
          <rPr>
            <sz val="9"/>
            <color indexed="81"/>
            <rFont val="Tahoma"/>
            <family val="2"/>
          </rPr>
          <t xml:space="preserve">
https://www.surreyheartlands.org/tnrf2-pain-management
Spinal epidural injections (spinal injections to help with pain)</t>
        </r>
      </text>
    </comment>
    <comment ref="AP57" authorId="0" shapeId="0" xr:uid="{0B99852D-1041-460A-AA65-3EEDBE6A6A70}">
      <text>
        <r>
          <rPr>
            <b/>
            <sz val="9"/>
            <color indexed="81"/>
            <rFont val="Tahoma"/>
            <family val="2"/>
          </rPr>
          <t>Jamie Smyth:</t>
        </r>
        <r>
          <rPr>
            <sz val="9"/>
            <color indexed="81"/>
            <rFont val="Tahoma"/>
            <family val="2"/>
          </rPr>
          <t xml:space="preserve">
25. Injections for Nonspecific Low Back Pain without Sciatica 
Page 42
"Epidurals (local anaesthetic and steroid) should be considered in patients who have acute and severe lumbar radiculopathy at time of referral. "</t>
        </r>
      </text>
    </comment>
    <comment ref="AQ57" authorId="0" shapeId="0" xr:uid="{06D656F8-ECC8-478F-90A7-DEBB0F341750}">
      <text>
        <r>
          <rPr>
            <b/>
            <sz val="9"/>
            <color indexed="81"/>
            <rFont val="Tahoma"/>
            <family val="2"/>
          </rPr>
          <t>Jamie Smyth:</t>
        </r>
        <r>
          <rPr>
            <sz val="9"/>
            <color indexed="81"/>
            <rFont val="Tahoma"/>
            <family val="2"/>
          </rPr>
          <t xml:space="preserve">
Spinal surgery assessment (11.2024) policy"</t>
        </r>
      </text>
    </comment>
    <comment ref="F58" authorId="210" shapeId="0" xr:uid="{D91EC4A9-6270-464F-AC3F-1B149A12C4E2}">
      <text>
        <t xml:space="preserve">[Threaded comment]
Your version of Excel allows you to read this threaded comment; however, any edits to it will get removed if the file is opened in a newer version of Excel. Learn more: https://go.microsoft.com/fwlink/?linkid=870924
Comment:
    EBI policy. Early endoscopic retrograde ERCP (Endoscopic retrograde cholangiopancreatography) in acute gallstone pancreatitis without cholangitis
Endoscopic retrograde Cholangiopancreatography, a procedure using x-rays and a gastroscope to look at the bile and pancreatic duct. https://blackcountry.icb.nhs.uk/have-your-say/get-involved/current-consultations-and-engagement/clinical-policy-review2 
</t>
      </text>
    </comment>
    <comment ref="I58" authorId="211" shapeId="0" xr:uid="{89DD8CB5-5439-4F35-B6ED-B4F8AD77894E}">
      <text>
        <t>[Threaded comment]
Your version of Excel allows you to read this threaded comment; however, any edits to it will get removed if the file is opened in a newer version of Excel. Learn more: https://go.microsoft.com/fwlink/?linkid=870924
Comment:
    “Early endoscopic retrograde cholangiopancreatography (ERCP) is not recommended for acute gallstone pancreatitis without cholangitis.
” https://www.cpics.org.uk/download.cfm?doc=docm93jijm4n1119.pdf&amp;ver=1982</t>
      </text>
    </comment>
    <comment ref="K58" authorId="212" shapeId="0" xr:uid="{E6C8B7B2-9498-4A02-B8F9-672C87A3E9E9}">
      <text>
        <t>[Threaded comment]
Your version of Excel allows you to read this threaded comment; however, any edits to it will get removed if the file is opened in a newer version of Excel. Learn more: https://go.microsoft.com/fwlink/?linkid=870924
Comment:
    Should be a tick https://docs.cios.icb.nhs.uk/DocumentsLibrary/NHSCornwallAndIslesOfScilly/Services/IndividualFundingRequests/CommissioningPolicies.pdf</t>
      </text>
    </comment>
    <comment ref="U58" authorId="213" shapeId="0" xr:uid="{29378E35-1C38-46E8-B38E-56533828B383}">
      <text>
        <t>[Threaded comment]
Your version of Excel allows you to read this threaded comment; however, any edits to it will get removed if the file is opened in a newer version of Excel. Learn more: https://go.microsoft.com/fwlink/?linkid=870924
Comment:
    ?tick https://www.hweclinicalguidance.nhs.uk/all-clinical-areas-documents/search-results/cholecystectomy/</t>
      </text>
    </comment>
    <comment ref="AM58" authorId="214" shapeId="0" xr:uid="{D452253F-B7CA-4B8A-B550-7698AEBDA6E6}">
      <text>
        <t>[Threaded comment]
Your version of Excel allows you to read this threaded comment; however, any edits to it will get removed if the file is opened in a newer version of Excel. Learn more: https://go.microsoft.com/fwlink/?linkid=870924
Comment:
    Tick - Early Endoscopic Retrograde Cholangiopancreatography (ERCP) Management of Pancreatitis without cholangitis https://staffsstoke.icb.nhs.uk/your-nhs-integrated-care-board/our-publications/governance-handbook/all-policies/commissioning/icb-excluded-and-restricted-procedures-policy-v3-1/?layout=file</t>
      </text>
    </comment>
    <comment ref="F59" authorId="0" shapeId="0" xr:uid="{73D62CEB-144B-44FF-AB47-4D21A5FB123C}">
      <text>
        <r>
          <rPr>
            <b/>
            <sz val="9"/>
            <color indexed="81"/>
            <rFont val="Tahoma"/>
            <family val="2"/>
          </rPr>
          <t>Jamie Smyth:</t>
        </r>
        <r>
          <rPr>
            <sz val="9"/>
            <color indexed="81"/>
            <rFont val="Tahoma"/>
            <family val="2"/>
          </rPr>
          <t xml:space="preserve">
Covered under Tonsillectomy policy</t>
        </r>
      </text>
    </comment>
    <comment ref="H59" authorId="0" shapeId="0" xr:uid="{9F89D6B4-02BB-4B71-8C40-AC50B1BA17AF}">
      <text>
        <r>
          <rPr>
            <b/>
            <sz val="9"/>
            <color indexed="81"/>
            <rFont val="Tahoma"/>
            <family val="2"/>
          </rPr>
          <t>Jamie Smyth:</t>
        </r>
        <r>
          <rPr>
            <sz val="9"/>
            <color indexed="81"/>
            <rFont val="Tahoma"/>
            <family val="2"/>
          </rPr>
          <t xml:space="preserve">
Surgery for Painful Big Toe (Bunion)  policy</t>
        </r>
      </text>
    </comment>
    <comment ref="I59" authorId="0" shapeId="0" xr:uid="{8FBF67B7-19FE-41FE-B180-1017540882D2}">
      <text>
        <r>
          <rPr>
            <b/>
            <sz val="9"/>
            <color indexed="81"/>
            <rFont val="Tahoma"/>
            <family val="2"/>
          </rPr>
          <t>Jamie Smyth:</t>
        </r>
        <r>
          <rPr>
            <sz val="9"/>
            <color indexed="81"/>
            <rFont val="Tahoma"/>
            <family val="2"/>
          </rPr>
          <t xml:space="preserve">
Foot Care Interventions: Podiatry, Laser, Injections and Surgery Policy</t>
        </r>
      </text>
    </comment>
    <comment ref="J59" authorId="0" shapeId="0" xr:uid="{35E55398-D9BA-4781-B6FC-94D01055942D}">
      <text>
        <r>
          <rPr>
            <b/>
            <sz val="9"/>
            <color indexed="81"/>
            <rFont val="Tahoma"/>
            <family val="2"/>
          </rPr>
          <t>Jamie Smyth:</t>
        </r>
        <r>
          <rPr>
            <sz val="9"/>
            <color indexed="81"/>
            <rFont val="Tahoma"/>
            <family val="2"/>
          </rPr>
          <t xml:space="preserve">
Bunions, Surgical Removal Policy</t>
        </r>
      </text>
    </comment>
    <comment ref="P59" authorId="0" shapeId="0" xr:uid="{C9A40BDB-0D98-47B0-A1E2-0AC8A54FC9C2}">
      <text>
        <r>
          <rPr>
            <b/>
            <sz val="9"/>
            <color indexed="81"/>
            <rFont val="Tahoma"/>
            <family val="2"/>
          </rPr>
          <t>Jamie Smyth:</t>
        </r>
        <r>
          <rPr>
            <sz val="9"/>
            <color indexed="81"/>
            <rFont val="Tahoma"/>
            <family val="2"/>
          </rPr>
          <t xml:space="preserve">
Surgery for painful big toe (bunion)
Procedure that requires Prior Approva</t>
        </r>
      </text>
    </comment>
    <comment ref="Q59" authorId="0" shapeId="0" xr:uid="{8C69BD1C-9F59-403D-9F15-BE19846B3526}">
      <text>
        <r>
          <rPr>
            <b/>
            <sz val="9"/>
            <color indexed="81"/>
            <rFont val="Tahoma"/>
            <family val="2"/>
          </rPr>
          <t>Jamie Smyth:</t>
        </r>
        <r>
          <rPr>
            <sz val="9"/>
            <color indexed="81"/>
            <rFont val="Tahoma"/>
            <family val="2"/>
          </rPr>
          <t xml:space="preserve">
Surgical Foot Procedures policy</t>
        </r>
      </text>
    </comment>
    <comment ref="R59" authorId="0" shapeId="0" xr:uid="{EBCFD07F-E270-4D14-8610-8493D5A09EC0}">
      <text>
        <r>
          <rPr>
            <b/>
            <sz val="9"/>
            <color indexed="81"/>
            <rFont val="Tahoma"/>
            <family val="2"/>
          </rPr>
          <t>Jamie Smyth:</t>
        </r>
        <r>
          <rPr>
            <sz val="9"/>
            <color indexed="81"/>
            <rFont val="Tahoma"/>
            <family val="2"/>
          </rPr>
          <t xml:space="preserve">
Bunion Surgery policy</t>
        </r>
      </text>
    </comment>
    <comment ref="T59" authorId="0" shapeId="0" xr:uid="{6006E4CC-14D2-447C-BA3F-4D6E4951621C}">
      <text>
        <r>
          <rPr>
            <b/>
            <sz val="9"/>
            <color indexed="81"/>
            <rFont val="Tahoma"/>
            <family val="2"/>
          </rPr>
          <t>Jamie Smyth:</t>
        </r>
        <r>
          <rPr>
            <sz val="9"/>
            <color indexed="81"/>
            <rFont val="Tahoma"/>
            <family val="2"/>
          </rPr>
          <t xml:space="preserve">
Management of Musculo-Skeletal Conditions - Commissioning Policy v1.5</t>
        </r>
      </text>
    </comment>
    <comment ref="AA59" authorId="0" shapeId="0" xr:uid="{65F2884E-895B-4FAB-AE84-253C345AE53E}">
      <text>
        <r>
          <rPr>
            <b/>
            <sz val="9"/>
            <color indexed="81"/>
            <rFont val="Tahoma"/>
            <family val="2"/>
          </rPr>
          <t>Jamie Smyth:</t>
        </r>
        <r>
          <rPr>
            <sz val="9"/>
            <color indexed="81"/>
            <rFont val="Tahoma"/>
            <family val="2"/>
          </rPr>
          <t xml:space="preserve">
https://www.midandsouthessex.ics.nhs.uk/publications/srp-029-bunion-hallux-valgus-surgery/</t>
        </r>
      </text>
    </comment>
    <comment ref="J60" authorId="0" shapeId="0" xr:uid="{C9A2D8D8-6629-4B7A-AD71-95D377AD7C09}">
      <text>
        <r>
          <rPr>
            <b/>
            <sz val="9"/>
            <color indexed="81"/>
            <rFont val="Tahoma"/>
            <family val="2"/>
          </rPr>
          <t>Jamie Smyth:</t>
        </r>
        <r>
          <rPr>
            <sz val="9"/>
            <color indexed="81"/>
            <rFont val="Tahoma"/>
            <family val="2"/>
          </rPr>
          <t xml:space="preserve">
Ganglia, Surgical Removal and General Management Policy</t>
        </r>
      </text>
    </comment>
    <comment ref="M60" authorId="0" shapeId="0" xr:uid="{2F50A983-9022-40C0-969A-A7AD92DD8DD9}">
      <text>
        <r>
          <rPr>
            <b/>
            <sz val="9"/>
            <color indexed="81"/>
            <rFont val="Tahoma"/>
            <family val="2"/>
          </rPr>
          <t>Jamie Smyth:</t>
        </r>
        <r>
          <rPr>
            <sz val="9"/>
            <color indexed="81"/>
            <rFont val="Tahoma"/>
            <family val="2"/>
          </rPr>
          <t xml:space="preserve">
Ganglion cyst policy</t>
        </r>
      </text>
    </comment>
    <comment ref="AA60" authorId="0" shapeId="0" xr:uid="{A4EEE98D-F5EA-4484-AD55-58548A3043C3}">
      <text>
        <r>
          <rPr>
            <b/>
            <sz val="9"/>
            <color indexed="81"/>
            <rFont val="Tahoma"/>
            <family val="2"/>
          </rPr>
          <t>Jamie Smyth:</t>
        </r>
        <r>
          <rPr>
            <sz val="9"/>
            <color indexed="81"/>
            <rFont val="Tahoma"/>
            <family val="2"/>
          </rPr>
          <t xml:space="preserve">
https://www.midandsouthessex.ics.nhs.uk/publications/srp-052-ganglion-mucoid-cysts/</t>
        </r>
      </text>
    </comment>
    <comment ref="D61" authorId="215" shapeId="0" xr:uid="{9737F2D4-1A49-49D0-9649-07EEA040DF50}">
      <text>
        <t>[Threaded comment]
Your version of Excel allows you to read this threaded comment; however, any edits to it will get removed if the file is opened in a newer version of Excel. Learn more: https://go.microsoft.com/fwlink/?linkid=870924
Comment:
    Not funded - but is mentioned https://bedfordshirelutonandmiltonkeynes.icb.nhs.uk/~documents/policies/evidence-based-clinical-policies/peyronies-disease</t>
      </text>
    </comment>
    <comment ref="H61" authorId="216" shapeId="0" xr:uid="{BFD5E0E0-BCF2-4FD4-B6B8-37CFE16A31FA}">
      <text>
        <t>[Threaded comment]
Your version of Excel allows you to read this threaded comment; however, any edits to it will get removed if the file is opened in a newer version of Excel. Learn more: https://go.microsoft.com/fwlink/?linkid=870924
Comment:
    Criteria based https://www.bucksoxonberksw.icb.nhs.uk/media/3339/tvpc105-surgical-removal-of-kidney-stones.pdf</t>
      </text>
    </comment>
    <comment ref="T61" authorId="217" shapeId="0" xr:uid="{80ECD60D-7946-4961-99D5-63BE332DCF3A}">
      <text>
        <t>[Threaded comment]
Your version of Excel allows you to read this threaded comment; however, any edits to it will get removed if the file is opened in a newer version of Excel. Learn more: https://go.microsoft.com/fwlink/?linkid=870924
Comment:
    IFR https://www.hwics.org.uk/application/files/2917/5034/2252/ICB_ESWT_RPT_Commissioning_Policy_v1.3.1.pdf</t>
      </text>
    </comment>
    <comment ref="U61" authorId="218" shapeId="0" xr:uid="{726D0ECE-4A5F-4997-8BBB-37011EEDBB9B}">
      <text>
        <t>[Threaded comment]
Your version of Excel allows you to read this threaded comment; however, any edits to it will get removed if the file is opened in a newer version of Excel. Learn more: https://go.microsoft.com/fwlink/?linkid=870924
Comment:
    Extracorporeal Shockwave Therapy will not be funded due to inadequate evidence of efficacy. Collegenase clostridium histolyticum (Xiapex) is no longer available in the UK.    https://www.hweclinicalguidance.nhs.uk/all-clinical-areas-documents/search-results/peyronies-disease/</t>
      </text>
    </comment>
    <comment ref="G62" authorId="0" shapeId="0" xr:uid="{2C8AFFC7-5F6D-41B8-8FD5-5DE976416FBE}">
      <text>
        <r>
          <rPr>
            <b/>
            <sz val="9"/>
            <color indexed="81"/>
            <rFont val="Tahoma"/>
            <family val="2"/>
          </rPr>
          <t>Jamie Smyth:</t>
        </r>
        <r>
          <rPr>
            <sz val="9"/>
            <color indexed="81"/>
            <rFont val="Tahoma"/>
            <family val="2"/>
          </rPr>
          <t xml:space="preserve">
Blepharoplasty and/or Brow lift policy</t>
        </r>
      </text>
    </comment>
    <comment ref="J62" authorId="219" shapeId="0" xr:uid="{509E79CD-74DC-4BA4-BFE1-7D77C65C7761}">
      <text>
        <t>[Threaded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https://www.cheshireandmerseyside.nhs.uk/media/52yeoph3/pol-clin096-blephptosis-final-v03.pdf</t>
      </text>
    </comment>
    <comment ref="L62" authorId="0" shapeId="0" xr:uid="{55106F06-A2FD-441C-9E92-242A0B5F5D2C}">
      <text>
        <r>
          <rPr>
            <b/>
            <sz val="9"/>
            <color indexed="81"/>
            <rFont val="Tahoma"/>
            <family val="2"/>
          </rPr>
          <t>Jamie Smyth:</t>
        </r>
        <r>
          <rPr>
            <sz val="9"/>
            <color indexed="81"/>
            <rFont val="Tahoma"/>
            <family val="2"/>
          </rPr>
          <t xml:space="preserve">
Treatments Designed to Improve Aesthetic Appearance Policy - Surgery on the upper eyelid (upper lid blepharoplasty)
• Surgery on the lower eyelid (lower lid blepharoplasty)
However prior approval also if fit certain criteria
</t>
        </r>
      </text>
    </comment>
    <comment ref="O62" authorId="0" shapeId="0" xr:uid="{538B5E99-EA82-4878-9355-BE7125817FD4}">
      <text>
        <r>
          <rPr>
            <b/>
            <sz val="9"/>
            <color indexed="81"/>
            <rFont val="Tahoma"/>
            <family val="2"/>
          </rPr>
          <t>Jamie Smyth:</t>
        </r>
        <r>
          <rPr>
            <sz val="9"/>
            <color indexed="81"/>
            <rFont val="Tahoma"/>
            <family val="2"/>
          </rPr>
          <t xml:space="preserve">
Can't find mention of lid surgery policies</t>
        </r>
      </text>
    </comment>
    <comment ref="S62" authorId="220" shapeId="0" xr:uid="{97F768E0-6DBA-4B01-84F9-5EF1D438EA4D}">
      <text>
        <t xml:space="preserve">[Threaded comment]
Your version of Excel allows you to read this threaded comment; however, any edits to it will get removed if the file is opened in a newer version of Excel. Learn more: https://go.microsoft.com/fwlink/?linkid=870924
Comment:
    Criteria based https://fundingrequests.scwcsu.nhs.uk/wp-content/uploads/2023/04/52-Eyelid-surgery-for-ptosis-and-dermatochalasis.pdf
</t>
      </text>
    </comment>
    <comment ref="AA62" authorId="0" shapeId="0" xr:uid="{5714856A-0353-4B68-AD83-33236F639416}">
      <text>
        <r>
          <rPr>
            <b/>
            <sz val="9"/>
            <color indexed="81"/>
            <rFont val="Tahoma"/>
            <family val="2"/>
          </rPr>
          <t>Jamie Smyth:</t>
        </r>
        <r>
          <rPr>
            <sz val="9"/>
            <color indexed="81"/>
            <rFont val="Tahoma"/>
            <family val="2"/>
          </rPr>
          <t xml:space="preserve">
https://www.midandsouthessex.ics.nhs.uk/publications/046-facial-surgery-aesthetic-cosmetic/
AO: "surgical treatment is commissioned of one or more applies" - eyelid surgery indications tick https://www.midandsouthessex.ics.nhs.uk/publications/srp-075-oculoplastic-procedures/</t>
        </r>
      </text>
    </comment>
    <comment ref="AI62" authorId="221" shapeId="0" xr:uid="{4BBF9B8E-3F05-405F-879A-940BBC2929BA}">
      <text>
        <t>[Threaded comment]
Your version of Excel allows you to read this threaded comment; however, any edits to it will get removed if the file is opened in a newer version of Excel. Learn more: https://go.microsoft.com/fwlink/?linkid=870924
Comment:
    IFR - aesthetics interventions “Blephoraplasty ”</t>
      </text>
    </comment>
    <comment ref="D63" authorId="0" shapeId="0" xr:uid="{AE57E5A4-4E75-4156-A59E-01489B522682}">
      <text>
        <r>
          <rPr>
            <b/>
            <sz val="9"/>
            <color indexed="81"/>
            <rFont val="Tahoma"/>
            <family val="2"/>
          </rPr>
          <t>Jamie Smyth:</t>
        </r>
        <r>
          <rPr>
            <sz val="9"/>
            <color indexed="81"/>
            <rFont val="Tahoma"/>
            <family val="2"/>
          </rPr>
          <t xml:space="preserve">
Brow lift policy - referred to as brow ptosis.</t>
        </r>
      </text>
    </comment>
    <comment ref="F63" authorId="0" shapeId="0" xr:uid="{00DCE94E-A30C-4C72-BCD4-8267417E0023}">
      <text>
        <r>
          <rPr>
            <b/>
            <sz val="9"/>
            <color indexed="81"/>
            <rFont val="Tahoma"/>
            <family val="2"/>
          </rPr>
          <t>Jamie Smyth:</t>
        </r>
        <r>
          <rPr>
            <sz val="9"/>
            <color indexed="81"/>
            <rFont val="Tahoma"/>
            <family val="2"/>
          </rPr>
          <t xml:space="preserve">
Bariatric surgery policy</t>
        </r>
      </text>
    </comment>
    <comment ref="G63" authorId="0" shapeId="0" xr:uid="{2843E346-EFC6-4565-8B2C-B2E9CEC3CC40}">
      <text>
        <r>
          <rPr>
            <b/>
            <sz val="9"/>
            <color indexed="81"/>
            <rFont val="Tahoma"/>
            <family val="2"/>
          </rPr>
          <t>Jamie Smyth:</t>
        </r>
        <r>
          <rPr>
            <sz val="9"/>
            <color indexed="81"/>
            <rFont val="Tahoma"/>
            <family val="2"/>
          </rPr>
          <t xml:space="preserve">
Blepharoplasty and/or Brow lift policy</t>
        </r>
      </text>
    </comment>
    <comment ref="I63" authorId="222" shapeId="0" xr:uid="{27433FD1-A9E9-4016-8E78-0B3B2478DE52}">
      <text>
        <t>[Threaded comment]
Your version of Excel allows you to read this threaded comment; however, any edits to it will get removed if the file is opened in a newer version of Excel. Learn more: https://go.microsoft.com/fwlink/?linkid=870924
Comment:
    Criteria based when meets certain criteria, not cosmetic https://www.cpics.org.uk/download.cfm?doc=docm93jijm4n1363.pdf&amp;ver=2674</t>
      </text>
    </comment>
    <comment ref="L63" authorId="223" shapeId="0" xr:uid="{945C4D79-1BE6-4F82-94A0-E37DEDBFD7D2}">
      <text>
        <t>[Threaded comment]
Your version of Excel allows you to read this threaded comment; however, any edits to it will get removed if the file is opened in a newer version of Excel. Learn more: https://go.microsoft.com/fwlink/?linkid=870924
Comment:
    Prior approval code https://www.happyhealthylives.uk/clientfiles/files/document_library/Treatments%20Designed%20to%20Improve%20Aesthetic%20Appearance%20Policy.pdf</t>
      </text>
    </comment>
    <comment ref="N63" authorId="0" shapeId="0" xr:uid="{069F1D2E-055B-45F6-858D-4D2B66FB1C18}">
      <text>
        <r>
          <rPr>
            <b/>
            <sz val="9"/>
            <color indexed="81"/>
            <rFont val="Tahoma"/>
            <family val="2"/>
          </rPr>
          <t>Jamie Smyth:</t>
        </r>
        <r>
          <rPr>
            <sz val="9"/>
            <color indexed="81"/>
            <rFont val="Tahoma"/>
            <family val="2"/>
          </rPr>
          <t xml:space="preserve">
Blepharoplasty (Upper and
Lower lid) including Brow Lift policy
</t>
        </r>
      </text>
    </comment>
    <comment ref="O63" authorId="0" shapeId="0" xr:uid="{B34F2DB3-291A-4738-87C8-68D1E55C08A0}">
      <text>
        <r>
          <rPr>
            <b/>
            <sz val="9"/>
            <color indexed="81"/>
            <rFont val="Tahoma"/>
            <family val="2"/>
          </rPr>
          <t>Jamie Smyth:</t>
        </r>
        <r>
          <rPr>
            <sz val="9"/>
            <color indexed="81"/>
            <rFont val="Tahoma"/>
            <family val="2"/>
          </rPr>
          <t xml:space="preserve">
Cosmetic Treatments (including Laser Treatment)</t>
        </r>
      </text>
    </comment>
    <comment ref="R63" authorId="0" shapeId="0" xr:uid="{6D957FF7-9A0C-4CAE-BBD8-37C1332DBA05}">
      <text>
        <r>
          <rPr>
            <b/>
            <sz val="9"/>
            <color indexed="81"/>
            <rFont val="Tahoma"/>
            <family val="2"/>
          </rPr>
          <t>Jamie Smyth:</t>
        </r>
        <r>
          <rPr>
            <sz val="9"/>
            <color indexed="81"/>
            <rFont val="Tahoma"/>
            <family val="2"/>
          </rPr>
          <t xml:space="preserve">
Brow lift surgery commissioned in cases to correct visual loss
- Correction of Dermatochalasis (excess skin of the eyelids) Commissioning Statement  </t>
        </r>
      </text>
    </comment>
    <comment ref="U63" authorId="0" shapeId="0" xr:uid="{0036D69A-CDD6-45B7-B1CC-8F615EF73EA4}">
      <text>
        <r>
          <rPr>
            <b/>
            <sz val="9"/>
            <color indexed="81"/>
            <rFont val="Tahoma"/>
            <family val="2"/>
          </rPr>
          <t>Jamie Smyth:</t>
        </r>
        <r>
          <rPr>
            <sz val="9"/>
            <color indexed="81"/>
            <rFont val="Tahoma"/>
            <family val="2"/>
          </rPr>
          <t xml:space="preserve">
https://www.hweclinicalguidance.nhs.uk/clinical-policies/blepharoplasty-and-brow-lift/</t>
        </r>
      </text>
    </comment>
    <comment ref="W63" authorId="224" shapeId="0" xr:uid="{BF23A95B-A8F5-43D0-A300-8D8BDB878139}">
      <text>
        <t>[Threaded comment]
Your version of Excel allows you to read this threaded comment; however, any edits to it will get removed if the file is opened in a newer version of Excel. Learn more: https://go.microsoft.com/fwlink/?linkid=870924
Comment:
    IFR https://www.kentandmedway.icb.nhs.uk/application/files/9817/1292/6708/KM_RaTC_April_2024.pdf</t>
      </text>
    </comment>
    <comment ref="Y63" authorId="225" shapeId="0" xr:uid="{41671E69-494B-4B97-B315-483882A83556}">
      <text>
        <t>[Threaded comment]
Your version of Excel allows you to read this threaded comment; however, any edits to it will get removed if the file is opened in a newer version of Excel. Learn more: https://go.microsoft.com/fwlink/?linkid=870924
Comment:
    Brow lift - threshold criteria https://leicesterleicestershireandrutland.icb.nhs.uk/policy-for-leicester-leicestershire-and-rutland-approved-referral-pathways/</t>
      </text>
    </comment>
    <comment ref="AA63" authorId="0" shapeId="0" xr:uid="{13177D77-A864-42E6-8A9E-CE7FADF036F3}">
      <text>
        <r>
          <rPr>
            <b/>
            <sz val="9"/>
            <color indexed="81"/>
            <rFont val="Tahoma"/>
            <family val="2"/>
          </rPr>
          <t>Jamie Smyth:</t>
        </r>
        <r>
          <rPr>
            <sz val="9"/>
            <color indexed="81"/>
            <rFont val="Tahoma"/>
            <family val="2"/>
          </rPr>
          <t xml:space="preserve">
https://www.midandsouthessex.ics.nhs.uk/publications/046-facial-surgery-aesthetic-cosmetic/</t>
        </r>
      </text>
    </comment>
    <comment ref="AB63" authorId="0" shapeId="0" xr:uid="{B2AFD17A-35F1-4647-BE71-AC125E4DD631}">
      <text>
        <r>
          <rPr>
            <b/>
            <sz val="9"/>
            <color indexed="81"/>
            <rFont val="Tahoma"/>
            <family val="2"/>
          </rPr>
          <t>Jamie Smyth:</t>
        </r>
        <r>
          <rPr>
            <sz val="9"/>
            <color indexed="81"/>
            <rFont val="Tahoma"/>
            <family val="2"/>
          </rPr>
          <t xml:space="preserve">
https://nwknowledgenow.nhs.uk/content/cosmetic-excision-of-skin-head-neck/</t>
        </r>
      </text>
    </comment>
    <comment ref="AC63" authorId="226" shapeId="0" xr:uid="{92D26D5A-F221-41E9-A305-5E14B33FB61D}">
      <text>
        <t xml:space="preserve">[Threaded comment]
Your version of Excel allows you to read this threaded comment; however, any edits to it will get removed if the file is opened in a newer version of Excel. Learn more: https://go.microsoft.com/fwlink/?linkid=870924
Comment:
    Tick - Brow lift is not routinely funded by NCL ICB unless the criteria below are met and evidenced. After assessment by a specialist; evidence must be provided demonstrating the severity and clinical need for surgery in these instances:  Impairment of vision.  To correct impairment of the visual field </t>
      </text>
    </comment>
    <comment ref="AF63" authorId="0" shapeId="0" xr:uid="{6B3108E2-5D4A-4313-945D-B629907704DF}">
      <text>
        <r>
          <rPr>
            <b/>
            <sz val="9"/>
            <color indexed="81"/>
            <rFont val="Tahoma"/>
            <family val="2"/>
          </rPr>
          <t>Jamie Smyth:</t>
        </r>
        <r>
          <rPr>
            <sz val="9"/>
            <color indexed="81"/>
            <rFont val="Tahoma"/>
            <family val="2"/>
          </rPr>
          <t xml:space="preserve">
Cosmetic Treatment Policy v7.pdf</t>
        </r>
      </text>
    </comment>
    <comment ref="AG63" authorId="0" shapeId="0" xr:uid="{3F946611-0BA0-4757-99F1-D30BD6FC5BB0}">
      <text>
        <r>
          <rPr>
            <b/>
            <sz val="9"/>
            <color indexed="81"/>
            <rFont val="Tahoma"/>
            <family val="2"/>
          </rPr>
          <t>Jamie Smyth:</t>
        </r>
        <r>
          <rPr>
            <sz val="9"/>
            <color indexed="81"/>
            <rFont val="Tahoma"/>
            <family val="2"/>
          </rPr>
          <t xml:space="preserve">
https://www.icnorthamptonshire.org.uk/documents?media_item=19755&amp;media_type=10#file-viewer</t>
        </r>
      </text>
    </comment>
    <comment ref="AJ63" authorId="0" shapeId="0" xr:uid="{9069A59D-5C51-4F27-88BA-9E02CE7A8C7E}">
      <text>
        <r>
          <rPr>
            <b/>
            <sz val="9"/>
            <color indexed="81"/>
            <rFont val="Tahoma"/>
            <family val="2"/>
          </rPr>
          <t>Jamie Smyth:</t>
        </r>
        <r>
          <rPr>
            <sz val="9"/>
            <color indexed="81"/>
            <rFont val="Tahoma"/>
            <family val="2"/>
          </rPr>
          <t xml:space="preserve">
Facial Surgery Policy</t>
        </r>
      </text>
    </comment>
    <comment ref="AL63" authorId="227" shapeId="0" xr:uid="{C30B8710-61C8-4F6E-98CE-A3D67B3C4449}">
      <text>
        <t xml:space="preserve">[Threaded comment]
Your version of Excel allows you to read this threaded comment; however, any edits to it will get removed if the file is opened in a newer version of Excel. Learn more: https://go.microsoft.com/fwlink/?linkid=870924
Comment:
    IFR - ”browlift” </t>
      </text>
    </comment>
    <comment ref="D64" authorId="228" shapeId="0" xr:uid="{415FDCF8-079E-4651-9293-A8D5431A5704}">
      <text>
        <t>[Threaded comment]
Your version of Excel allows you to read this threaded comment; however, any edits to it will get removed if the file is opened in a newer version of Excel. Learn more: https://go.microsoft.com/fwlink/?linkid=870924
Comment:
    “For recurrent or refractory Clostridium Difficile infection up to a maximum of two transplants.” any other indication then not funded https://bedfordshirelutonandmiltonkeynes.icb.nhs.uk/~documents/policies/evidence-based-clinical-policies/faecal-microbita-transplants-for-clostridium-difficile</t>
      </text>
    </comment>
    <comment ref="T64" authorId="229" shapeId="0" xr:uid="{4C149F9B-A770-4675-8361-AEA794FB903F}">
      <text>
        <t>[Threaded comment]
Your version of Excel allows you to read this threaded comment; however, any edits to it will get removed if the file is opened in a newer version of Excel. Learn more: https://go.microsoft.com/fwlink/?linkid=870924
Comment:
    Unable to find</t>
      </text>
    </comment>
    <comment ref="AM64" authorId="230" shapeId="0" xr:uid="{5E6D2E1C-3FC0-49AD-B582-90C2F759E3B3}">
      <text>
        <t>[Threaded comment]
Your version of Excel allows you to read this threaded comment; however, any edits to it will get removed if the file is opened in a newer version of Excel. Learn more: https://go.microsoft.com/fwlink/?linkid=870924
Comment:
    IFR - faecal transplant https://staffsstoke.icb.nhs.uk/your-nhs-integrated-care-board/our-publications/governance-handbook/all-policies/commissioning/icb-excluded-and-restricted-procedures-policy-v3-1/?layout=file</t>
      </text>
    </comment>
    <comment ref="C65" authorId="0" shapeId="0" xr:uid="{44F8F4E2-F723-4E58-9514-10F35864EB56}">
      <text>
        <r>
          <rPr>
            <b/>
            <sz val="9"/>
            <color indexed="81"/>
            <rFont val="Tahoma"/>
            <family val="2"/>
          </rPr>
          <t>Jamie Smyth:</t>
        </r>
        <r>
          <rPr>
            <sz val="9"/>
            <color indexed="81"/>
            <rFont val="Tahoma"/>
            <family val="2"/>
          </rPr>
          <t xml:space="preserve">
Mentioned in Body Contouring policy</t>
        </r>
      </text>
    </comment>
    <comment ref="F65" authorId="0" shapeId="0" xr:uid="{F6B0A632-F8C6-4556-A095-0491EF51F82D}">
      <text>
        <r>
          <rPr>
            <b/>
            <sz val="9"/>
            <color indexed="81"/>
            <rFont val="Tahoma"/>
            <family val="2"/>
          </rPr>
          <t>Jamie Smyth:</t>
        </r>
        <r>
          <rPr>
            <sz val="9"/>
            <color indexed="81"/>
            <rFont val="Tahoma"/>
            <family val="2"/>
          </rPr>
          <t xml:space="preserve">
Would fall under wrap-around cosmetic surgery policy - https://blackcountryics.org.uk/application/files/3517/1820/8169/BCICB_POLICY_Liposuction.pdf - Liposuction for lymphoedema is criteria based but cosmetic is not</t>
        </r>
      </text>
    </comment>
    <comment ref="L65" authorId="0" shapeId="0" xr:uid="{4FF294E3-4858-4388-BE51-02C522205E75}">
      <text>
        <r>
          <rPr>
            <b/>
            <sz val="9"/>
            <color indexed="81"/>
            <rFont val="Tahoma"/>
            <family val="2"/>
          </rPr>
          <t>Jamie Smyth:</t>
        </r>
        <r>
          <rPr>
            <sz val="9"/>
            <color indexed="81"/>
            <rFont val="Tahoma"/>
            <family val="2"/>
          </rPr>
          <t xml:space="preserve">
Treatments Designed to Improve Aesthetic Appearance Policy</t>
        </r>
      </text>
    </comment>
    <comment ref="AA65" authorId="0" shapeId="0" xr:uid="{FFD0C23A-1AE2-408E-8FCA-8B9C66EE3A25}">
      <text>
        <r>
          <rPr>
            <b/>
            <sz val="9"/>
            <color indexed="81"/>
            <rFont val="Tahoma"/>
            <family val="2"/>
          </rPr>
          <t>Jamie Smyth:</t>
        </r>
        <r>
          <rPr>
            <sz val="9"/>
            <color indexed="81"/>
            <rFont val="Tahoma"/>
            <family val="2"/>
          </rPr>
          <t xml:space="preserve">
https://www.midandsouthessex.ics.nhs.uk/publications/srp-090-skin-contouring-body-contouring-tumescent-liposuction-liposuction-liposculpture/</t>
        </r>
      </text>
    </comment>
    <comment ref="AF65" authorId="0" shapeId="0" xr:uid="{2C1C1354-5D21-490E-A7A3-687637F54DCE}">
      <text>
        <r>
          <rPr>
            <b/>
            <sz val="9"/>
            <color indexed="81"/>
            <rFont val="Tahoma"/>
            <family val="2"/>
          </rPr>
          <t>Jamie Smyth:</t>
        </r>
        <r>
          <rPr>
            <sz val="9"/>
            <color indexed="81"/>
            <rFont val="Tahoma"/>
            <family val="2"/>
          </rPr>
          <t xml:space="preserve">
Cosmetic Treatment Policy v7.pdf</t>
        </r>
      </text>
    </comment>
    <comment ref="AI65" authorId="231" shapeId="0" xr:uid="{886EA34B-8898-40A5-84AB-98036007CB52}">
      <text>
        <t>[Threaded comment]
Your version of Excel allows you to read this threaded comment; however, any edits to it will get removed if the file is opened in a newer version of Excel. Learn more: https://go.microsoft.com/fwlink/?linkid=870924
Comment:
    IFR https://www.shropshiretelfordandwrekin.nhs.uk/wp-content/uploads/20240314-VBC-Policy-v5-Final.pdf</t>
      </text>
    </comment>
    <comment ref="AK65" authorId="232" shapeId="0" xr:uid="{D7AC68BF-D62B-4FF1-A5E3-75547415C37F}">
      <text>
        <t xml:space="preserve">[Threaded comment]
Your version of Excel allows you to read this threaded comment; however, any edits to it will get removed if the file is opened in a newer version of Excel. Learn more: https://go.microsoft.com/fwlink/?linkid=870924
Comment:
    ?criteria? https://www.selondonics.org/wp-content/uploads/dlm_uploads/SEL-Treatment-Access-Policy-July-2024-v1.pdf 1.6 Body contouring (Abdominoplasty or tummy tuck, thigh lift and buttock lift, excision of redundant skin or fat liposuction) These procedures are not available on cosmetic grounds. An exception may be made for post-traumatic surgery for contouring at diabetes injection sites or for lymphoedema. </t>
      </text>
    </comment>
    <comment ref="AL65" authorId="0" shapeId="0" xr:uid="{4A9E03FB-B709-41D7-8C73-659C3FD68E13}">
      <text>
        <r>
          <rPr>
            <b/>
            <sz val="9"/>
            <color indexed="81"/>
            <rFont val="Tahoma"/>
            <family val="2"/>
          </rPr>
          <t>Jamie Smyth:</t>
        </r>
        <r>
          <rPr>
            <sz val="9"/>
            <color indexed="81"/>
            <rFont val="Tahoma"/>
            <family val="2"/>
          </rPr>
          <t xml:space="preserve">
Appendix 3 - Page 127.
AO - is that critiera as exceptions? "Liposuction will not be routinely commissioned by the NHS simply to correct the distribution of fat or
for cosmetic reasons.
Cases may be considered on an exceptional basis, for example where the patient has significant
lipodystrophy"</t>
        </r>
      </text>
    </comment>
    <comment ref="AN65" authorId="233" shapeId="0" xr:uid="{B2915A72-51ED-4171-B362-54BD73BECECD}">
      <text>
        <t>[Threaded comment]
Your version of Excel allows you to read this threaded comment; however, any edits to it will get removed if the file is opened in a newer version of Excel. Learn more: https://go.microsoft.com/fwlink/?linkid=870924
Comment:
    IFR covered under “body contouring” https://suffolkandnortheastessex.icb.nhs.uk/about-us/our-policies/</t>
      </text>
    </comment>
    <comment ref="AO65" authorId="234" shapeId="0" xr:uid="{83F15C6E-4EF0-48AD-99A4-DDD2A8F607BB}">
      <text>
        <t>[Threaded comment]
Your version of Excel allows you to read this threaded comment; however, any edits to it will get removed if the file is opened in a newer version of Excel. Learn more: https://go.microsoft.com/fwlink/?linkid=870924
Comment:
    IFR https://www.surreyheartlands.org/tnrf1-cosmetic-and-plastic-surgery</t>
      </text>
    </comment>
    <comment ref="G66" authorId="235" shapeId="0" xr:uid="{1E83A972-AB31-45F2-B786-79EA3A7AC0EF}">
      <text>
        <t>[Threaded comment]
Your version of Excel allows you to read this threaded comment; however, any edits to it will get removed if the file is opened in a newer version of Excel. Learn more: https://go.microsoft.com/fwlink/?linkid=870924
Comment:
    Criteria based access should be a tick https://bnssghealthiertogether.org.uk/wp-content/uploads/2017/02/Female-Sterilisation-Reversal.pdf</t>
      </text>
    </comment>
    <comment ref="T66" authorId="236" shapeId="0" xr:uid="{6BE740A6-305B-4328-9CCD-449A59807159}">
      <text>
        <t>[Threaded comment]
Your version of Excel allows you to read this threaded comment; however, any edits to it will get removed if the file is opened in a newer version of Excel. Learn more: https://go.microsoft.com/fwlink/?linkid=870924
Comment:
    Unable to find ref</t>
      </text>
    </comment>
    <comment ref="AH66" authorId="237" shapeId="0" xr:uid="{DE5255D4-CAC5-4671-AC03-2A3AFF8CC3AB}">
      <text>
        <t>[Threaded comment]
Your version of Excel allows you to read this threaded comment; however, any edits to it will get removed if the file is opened in a newer version of Excel. Learn more: https://go.microsoft.com/fwlink/?linkid=870924
Comment:
    Can only find reversal</t>
      </text>
    </comment>
    <comment ref="R68" authorId="238" shapeId="0" xr:uid="{CDCD4AB7-5951-459A-8E51-C1591906E33E}">
      <text>
        <t>[Threaded comment]
Your version of Excel allows you to read this threaded comment; however, any edits to it will get removed if the file is opened in a newer version of Excel. Learn more: https://go.microsoft.com/fwlink/?linkid=870924
Comment:
    https://nhsgmgmicbsa.blob.core.windows.net/nhsgmgmicbblobstorage/GMEUR/Commissioning%20Statements/GM%20Other%20Aesthetic%20Surgery%20Commissioning%20Statement.pdf IFR limb lengthening</t>
      </text>
    </comment>
    <comment ref="D69" authorId="0" shapeId="0" xr:uid="{80C29503-4E94-4AF1-8013-7E34B7F056E7}">
      <text>
        <r>
          <rPr>
            <b/>
            <sz val="9"/>
            <color indexed="81"/>
            <rFont val="Tahoma"/>
            <family val="2"/>
          </rPr>
          <t>Jamie Smyth:</t>
        </r>
        <r>
          <rPr>
            <sz val="9"/>
            <color indexed="81"/>
            <rFont val="Tahoma"/>
            <family val="2"/>
          </rPr>
          <t xml:space="preserve">
Skin surface functional electrical stimulation (FES) for foot drop as a result of a condition of central neurological origin v2.0 </t>
        </r>
      </text>
    </comment>
    <comment ref="G69" authorId="0" shapeId="0" xr:uid="{E5222EF8-F598-43A9-90AD-0F58DDED2FF1}">
      <text>
        <r>
          <rPr>
            <b/>
            <sz val="9"/>
            <color indexed="81"/>
            <rFont val="Tahoma"/>
            <family val="2"/>
          </rPr>
          <t>Jamie Smyth:</t>
        </r>
        <r>
          <rPr>
            <sz val="9"/>
            <color indexed="81"/>
            <rFont val="Tahoma"/>
            <family val="2"/>
          </rPr>
          <t xml:space="preserve">
Functional Electrical Stimulation (FES) for Foot Drop of Central Neurological Origin for Patients under 16 years</t>
        </r>
      </text>
    </comment>
    <comment ref="I69" authorId="0" shapeId="0" xr:uid="{DBCB1673-0631-4423-88BB-F51A87FE958B}">
      <text>
        <r>
          <rPr>
            <b/>
            <sz val="9"/>
            <color indexed="81"/>
            <rFont val="Tahoma"/>
            <family val="2"/>
          </rPr>
          <t xml:space="preserve">Jamie Smyth:
</t>
        </r>
        <r>
          <rPr>
            <sz val="9"/>
            <color indexed="81"/>
            <rFont val="Tahoma"/>
            <family val="2"/>
          </rPr>
          <t>Neurostimulation policy</t>
        </r>
      </text>
    </comment>
    <comment ref="J69" authorId="0" shapeId="0" xr:uid="{067EFC90-48BA-4A42-B9A6-914D8E16DA32}">
      <text>
        <r>
          <rPr>
            <b/>
            <sz val="9"/>
            <color indexed="81"/>
            <rFont val="Tahoma"/>
            <family val="2"/>
          </rPr>
          <t>Jamie Smyth:</t>
        </r>
        <r>
          <rPr>
            <sz val="9"/>
            <color indexed="81"/>
            <rFont val="Tahoma"/>
            <family val="2"/>
          </rPr>
          <t xml:space="preserve">
Foot Drop, Functional Electrical Stimulation (FES)  policy</t>
        </r>
      </text>
    </comment>
    <comment ref="N69" authorId="0" shapeId="0" xr:uid="{0C9EA7A1-2A9C-4A89-B7B5-0221DF7F46AB}">
      <text>
        <r>
          <rPr>
            <b/>
            <sz val="9"/>
            <color indexed="81"/>
            <rFont val="Tahoma"/>
            <family val="2"/>
          </rPr>
          <t>Jamie Smyth:</t>
        </r>
        <r>
          <rPr>
            <sz val="9"/>
            <color indexed="81"/>
            <rFont val="Tahoma"/>
            <family val="2"/>
          </rPr>
          <t xml:space="preserve">
Skin surface applied functional
electrical stimulation for an
orthotic effect to correct foot
drop of central neurological
origin policy</t>
        </r>
      </text>
    </comment>
    <comment ref="O69" authorId="239" shapeId="0" xr:uid="{58B7A831-0E37-4FC5-A05E-55AB8CC546F6}">
      <text>
        <t>[Threaded comment]
Your version of Excel allows you to read this threaded comment; however, any edits to it will get removed if the file is opened in a newer version of Excel. Learn more: https://go.microsoft.com/fwlink/?linkid=870924
Comment:
    Criteria based https://nhsdorset.nhs.uk/wp-content/uploads/2022/11/Functional-Electronic-Stimulation-EBI.pdf</t>
      </text>
    </comment>
    <comment ref="Q69" authorId="0" shapeId="0" xr:uid="{DB785921-071D-45B8-9A9F-8720DCF6EC83}">
      <text>
        <r>
          <rPr>
            <b/>
            <sz val="9"/>
            <color indexed="81"/>
            <rFont val="Tahoma"/>
            <family val="2"/>
          </rPr>
          <t>Jamie Smyth:</t>
        </r>
        <r>
          <rPr>
            <sz val="9"/>
            <color indexed="81"/>
            <rFont val="Tahoma"/>
            <family val="2"/>
          </rPr>
          <t xml:space="preserve">
Functional Electronic Stimulation for Drop Foot policy</t>
        </r>
      </text>
    </comment>
    <comment ref="U69" authorId="240" shapeId="0" xr:uid="{3AC8A55A-E6BD-4B91-97FE-C5D08DCE721C}">
      <text>
        <t>[Threaded comment]
Your version of Excel allows you to read this threaded comment; however, any edits to it will get removed if the file is opened in a newer version of Excel. Learn more: https://go.microsoft.com/fwlink/?linkid=870924
Comment:
    IFR instead https://www.hweclinicalguidance.nhs.uk/all-clinical-areas-documents/search-results/functional-electrical-stimulation/</t>
      </text>
    </comment>
    <comment ref="Z69" authorId="241" shapeId="0" xr:uid="{9CB1C7DE-728C-4C3A-9540-507C09AE52E0}">
      <text>
        <t>[Threaded comment]
Your version of Excel allows you to read this threaded comment; however, any edits to it will get removed if the file is opened in a newer version of Excel. Learn more: https://go.microsoft.com/fwlink/?linkid=870924
Comment:
    IFR https://lincolnshire.icb.nhs.uk/~documents/icb-publications/our-policies-and-procedures/clinical-governance/cg-003-prior-approval-policy/?layout=file</t>
      </text>
    </comment>
    <comment ref="AA69" authorId="0" shapeId="0" xr:uid="{661B0B71-C6DC-47BC-A7CF-74F507AD21B9}">
      <text>
        <r>
          <rPr>
            <b/>
            <sz val="9"/>
            <color indexed="81"/>
            <rFont val="Tahoma"/>
            <family val="2"/>
          </rPr>
          <t>Jamie Smyth:</t>
        </r>
        <r>
          <rPr>
            <sz val="9"/>
            <color indexed="81"/>
            <rFont val="Tahoma"/>
            <family val="2"/>
          </rPr>
          <t xml:space="preserve">
https://www.midandsouthessex.ics.nhs.uk/publications/srp-050-functional-electrical-stimulation/</t>
        </r>
      </text>
    </comment>
    <comment ref="AO69" authorId="0" shapeId="0" xr:uid="{09D52AAD-B561-4C9A-80CE-002DB34898A0}">
      <text>
        <r>
          <rPr>
            <b/>
            <sz val="9"/>
            <color indexed="81"/>
            <rFont val="Tahoma"/>
            <family val="2"/>
          </rPr>
          <t>Jamie Smyth:</t>
        </r>
        <r>
          <rPr>
            <sz val="9"/>
            <color indexed="81"/>
            <rFont val="Tahoma"/>
            <family val="2"/>
          </rPr>
          <t xml:space="preserve">
https://www.surreyheartlands.org/tnrf1-other
Functional Electrical Stimulation (FES) for Dropped Foot of Central Neurological Origin (a treatment that involves the application of a mild electrical stimulus to a muscle that helps it to move better)</t>
        </r>
      </text>
    </comment>
    <comment ref="E70" authorId="242" shapeId="0" xr:uid="{6559BE24-7D84-4178-B2C4-6FC9CBED8C04}">
      <text>
        <t>[Threaded comment]
Your version of Excel allows you to read this threaded comment; however, any edits to it will get removed if the file is opened in a newer version of Excel. Learn more: https://go.microsoft.com/fwlink/?linkid=870924
Comment:
    https://www.birminghamsolihull.icb.nhs.uk/health-information-and-advice/policies/bowel-and-rectum - grade 1 and 2 not indicated, grade 3 and 5 criteria based acess</t>
      </text>
    </comment>
    <comment ref="F70" authorId="0" shapeId="0" xr:uid="{DF7C2299-08FB-43EA-A1A1-034F6FC8BEC7}">
      <text>
        <r>
          <rPr>
            <b/>
            <sz val="9"/>
            <color indexed="81"/>
            <rFont val="Tahoma"/>
            <family val="2"/>
          </rPr>
          <t>Jamie Smyth:</t>
        </r>
        <r>
          <rPr>
            <sz val="9"/>
            <color indexed="81"/>
            <rFont val="Tahoma"/>
            <family val="2"/>
          </rPr>
          <t xml:space="preserve">
Covered under Tonsillectomy policy</t>
        </r>
      </text>
    </comment>
    <comment ref="R70" authorId="0" shapeId="0" xr:uid="{F26F1E60-F837-4C29-8E99-4867927DAF17}">
      <text>
        <r>
          <rPr>
            <b/>
            <sz val="9"/>
            <color indexed="81"/>
            <rFont val="Tahoma"/>
            <family val="2"/>
          </rPr>
          <t>Jamie Smyth:</t>
        </r>
        <r>
          <rPr>
            <sz val="9"/>
            <color indexed="81"/>
            <rFont val="Tahoma"/>
            <family val="2"/>
          </rPr>
          <t xml:space="preserve">
Brow lift surgery commissioned in cases to correct visual loss
- Correction of Haemorrhoids and anal skin tags (the surgical management of (including banding)) Commissioning Statement</t>
        </r>
      </text>
    </comment>
    <comment ref="Y70" authorId="0" shapeId="0" xr:uid="{1341C300-226F-486B-828B-4907ED3BDA70}">
      <text>
        <r>
          <rPr>
            <b/>
            <sz val="9"/>
            <color indexed="81"/>
            <rFont val="Tahoma"/>
            <family val="2"/>
          </rPr>
          <t>Jamie Smyth:</t>
        </r>
        <r>
          <rPr>
            <sz val="9"/>
            <color indexed="81"/>
            <rFont val="Tahoma"/>
            <family val="2"/>
          </rPr>
          <t xml:space="preserve">
LLR Policy for Rectal Bleeding</t>
        </r>
      </text>
    </comment>
    <comment ref="C71" authorId="243" shapeId="0" xr:uid="{2745CE81-DA1C-43EA-ADA5-DBF38EC6A6B3}">
      <text>
        <t xml:space="preserve">[Threaded comment]
Your version of Excel allows you to read this threaded comment; however, any edits to it will get removed if the file is opened in a newer version of Excel. Learn more: https://go.microsoft.com/fwlink/?linkid=870924
Comment:
    Unable to find re hair removal only replacement </t>
      </text>
    </comment>
    <comment ref="F71" authorId="244" shapeId="0" xr:uid="{BB95BEA3-09F4-4661-AC4E-BE01F55950CE}">
      <text>
        <t xml:space="preserve">[Threaded comment]
Your version of Excel allows you to read this threaded comment; however, any edits to it will get removed if the file is opened in a newer version of Excel. Learn more: https://go.microsoft.com/fwlink/?linkid=870924
Comment:
    https://blackcountryics.org.uk/application/files/5917/0688/4896/BCICB_POLICY_Hair_removal.pdf 2.1 The following clinical indications are routinely funded: 2.1.1 Hair removal for grafts and flaps either before or after reconstructive surgery if the recipient site either does not normally grow or the graft gives rise to a patch of excessive growth. 2.1.2 As part of the treatment for pilonidal sinuses to reduce recurrence. 2.2 Cosmetic and aesthetic (psychological) indications are not funded. </t>
      </text>
    </comment>
    <comment ref="G71" authorId="0" shapeId="0" xr:uid="{5006E06B-81C9-455E-B3B6-BFEAA1398E51}">
      <text>
        <r>
          <rPr>
            <b/>
            <sz val="9"/>
            <color indexed="81"/>
            <rFont val="Tahoma"/>
            <family val="2"/>
          </rPr>
          <t>Jamie Smyth:</t>
        </r>
        <r>
          <rPr>
            <sz val="9"/>
            <color indexed="81"/>
            <rFont val="Tahoma"/>
            <family val="2"/>
          </rPr>
          <t xml:space="preserve">
Hair Removal (Including electrolysis and laser therapy, also covering complex pilonidal sinus disease and para stomal disease) policy</t>
        </r>
      </text>
    </comment>
    <comment ref="J71" authorId="245" shapeId="0" xr:uid="{3ECDD838-5CC0-4F7E-8481-2A9F59E0C6DD}">
      <text>
        <t>[Threaded comment]
Your version of Excel allows you to read this threaded comment; however, any edits to it will get removed if the file is opened in a newer version of Excel. Learn more: https://go.microsoft.com/fwlink/?linkid=870924
Comment:
    https://www.cheshireandmerseyside.nhs.uk/media/fjoihfhp/pol-clin053-hirsutismhairremoval-final-v05.pdf IFR</t>
      </text>
    </comment>
    <comment ref="L71" authorId="0" shapeId="0" xr:uid="{41A75BB4-2E8E-403C-9E69-DA673807E253}">
      <text>
        <r>
          <rPr>
            <b/>
            <sz val="9"/>
            <color indexed="81"/>
            <rFont val="Tahoma"/>
            <family val="2"/>
          </rPr>
          <t>Jamie Smyth:</t>
        </r>
        <r>
          <rPr>
            <sz val="9"/>
            <color indexed="81"/>
            <rFont val="Tahoma"/>
            <family val="2"/>
          </rPr>
          <t xml:space="preserve">
Treatments Designed to Improve Aesthetic Appearance Policy - Treatment (including laser treatment) for hirsutism,</t>
        </r>
      </text>
    </comment>
    <comment ref="W71" authorId="0" shapeId="0" xr:uid="{093359E9-2566-4724-912C-A883ECB38EBD}">
      <text>
        <r>
          <rPr>
            <b/>
            <sz val="9"/>
            <color indexed="81"/>
            <rFont val="Tahoma"/>
            <family val="2"/>
          </rPr>
          <t>Jamie Smyth:</t>
        </r>
        <r>
          <rPr>
            <sz val="9"/>
            <color indexed="81"/>
            <rFont val="Tahoma"/>
            <family val="2"/>
          </rPr>
          <t xml:space="preserve">
Not routinely funded</t>
        </r>
      </text>
    </comment>
    <comment ref="AA71" authorId="0" shapeId="0" xr:uid="{F73F92A4-E532-4C35-952F-67C94B3E19C9}">
      <text>
        <r>
          <rPr>
            <b/>
            <sz val="9"/>
            <color indexed="81"/>
            <rFont val="Tahoma"/>
            <family val="2"/>
          </rPr>
          <t>Jamie Smyth:</t>
        </r>
        <r>
          <rPr>
            <sz val="9"/>
            <color indexed="81"/>
            <rFont val="Tahoma"/>
            <family val="2"/>
          </rPr>
          <t xml:space="preserve">
https://www.midandsouthessex.ics.nhs.uk/publications/srp-057-hair-depilation-hirsutism/</t>
        </r>
      </text>
    </comment>
    <comment ref="AD71" authorId="246" shapeId="0" xr:uid="{A47A3603-0562-4F95-88B5-C4DFE79463FE}">
      <text>
        <r>
          <rPr>
            <b/>
            <sz val="9"/>
            <color indexed="81"/>
            <rFont val="Tahoma"/>
            <family val="2"/>
          </rPr>
          <t>Smyth, Jamie B:</t>
        </r>
        <r>
          <rPr>
            <sz val="9"/>
            <color indexed="81"/>
            <rFont val="Tahoma"/>
            <family val="2"/>
          </rPr>
          <t xml:space="preserve">
Hirsutism - Page 203</t>
        </r>
      </text>
    </comment>
    <comment ref="AF71" authorId="247" shapeId="0" xr:uid="{E1C21EB1-8514-454D-9881-8659A141F33C}">
      <text>
        <t>[Threaded comment]
Your version of Excel allows you to read this threaded comment; however, any edits to it will get removed if the file is opened in a newer version of Excel. Learn more: https://go.microsoft.com/fwlink/?linkid=870924
Comment:
    https://www.nwlondonicb.nhs.uk/application/files/2416/7664/3313/Laser_Hair_Removal_v7.pdf - criteria tick</t>
      </text>
    </comment>
    <comment ref="AG71" authorId="0" shapeId="0" xr:uid="{AE2D3FCB-C574-40C8-8379-4FC212098681}">
      <text>
        <r>
          <rPr>
            <b/>
            <sz val="9"/>
            <color indexed="81"/>
            <rFont val="Tahoma"/>
            <family val="2"/>
          </rPr>
          <t>Jamie Smyth:</t>
        </r>
        <r>
          <rPr>
            <sz val="9"/>
            <color indexed="81"/>
            <rFont val="Tahoma"/>
            <family val="2"/>
          </rPr>
          <t xml:space="preserve">
https://www.icnorthamptonshire.org.uk/documents?media_item=19772&amp;media_type=10#file-viewer
AO: ?IFR from above policy and also here https://www.icnorthamptonshire.org.uk/download.cfm?doc=docm93jijm4n21444&amp;ver=65852</t>
        </r>
      </text>
    </comment>
    <comment ref="AI71" authorId="0" shapeId="0" xr:uid="{DBBD4DD4-4D90-4FCA-978F-A35D11ABB778}">
      <text>
        <r>
          <rPr>
            <b/>
            <sz val="9"/>
            <color indexed="81"/>
            <rFont val="Tahoma"/>
            <family val="2"/>
          </rPr>
          <t>Jamie Smyth:</t>
        </r>
        <r>
          <rPr>
            <sz val="9"/>
            <color indexed="81"/>
            <rFont val="Tahoma"/>
            <family val="2"/>
          </rPr>
          <t xml:space="preserve">
Page 12 - Cosmetic/Aesthetic procedures</t>
        </r>
      </text>
    </comment>
    <comment ref="AL71" authorId="0" shapeId="0" xr:uid="{F6A6BAE9-C921-4D10-8F70-B784EE3D246F}">
      <text>
        <r>
          <rPr>
            <b/>
            <sz val="9"/>
            <color indexed="81"/>
            <rFont val="Tahoma"/>
            <family val="2"/>
          </rPr>
          <t>Jamie Smyth:</t>
        </r>
        <r>
          <rPr>
            <sz val="9"/>
            <color indexed="81"/>
            <rFont val="Tahoma"/>
            <family val="2"/>
          </rPr>
          <t xml:space="preserve">
Appendix 3 - Page 125.
AO; is that crieria for exceptions? Hair removal will not be routinely commissioned by the NHS for cosmetic reasons.
Hair removal may be considered on an exceptional basis, for example where the patient:
• has had reconstructive surgery resulting in abnormally located hair bearing skin or
• has a pilonidal sinus resistant to conventional treatment in order to reduce recurrence risk</t>
        </r>
      </text>
    </comment>
    <comment ref="AN71" authorId="248" shapeId="0" xr:uid="{DF197CC7-7950-43EE-BA7C-1FEBCA604F89}">
      <text>
        <t>[Threaded comment]
Your version of Excel allows you to read this threaded comment; however, any edits to it will get removed if the file is opened in a newer version of Excel. Learn more: https://go.microsoft.com/fwlink/?linkid=870924
Comment:
    Says policy removed? “Laser Hair Removal for Excessive Hair Growth including Hirsutism Policy ” https://suffolkandnortheastessex.icb.nhs.uk/about-us/our-policies/</t>
      </text>
    </comment>
    <comment ref="G72" authorId="0" shapeId="0" xr:uid="{C4E09C64-C994-46C2-83CB-25D789BC830E}">
      <text>
        <r>
          <rPr>
            <b/>
            <sz val="9"/>
            <color indexed="81"/>
            <rFont val="Tahoma"/>
            <family val="2"/>
          </rPr>
          <t>Jamie Smyth:</t>
        </r>
        <r>
          <rPr>
            <sz val="9"/>
            <color indexed="81"/>
            <rFont val="Tahoma"/>
            <family val="2"/>
          </rPr>
          <t xml:space="preserve">
Wigs, Hairpieces and Hair  Replacement Systems policy</t>
        </r>
      </text>
    </comment>
    <comment ref="J72" authorId="249" shapeId="0" xr:uid="{47298FAE-847A-41D9-9B74-53D983C00FE2}">
      <text>
        <t>[Threaded comment]
Your version of Excel allows you to read this threaded comment; however, any edits to it will get removed if the file is opened in a newer version of Excel. Learn more: https://go.microsoft.com/fwlink/?linkid=870924
Comment:
    Criteria based and IFR https://www.cheshireandmerseyside.nhs.uk/media/o5mheg1t/pol-clin052-hairloss-final-v05.pdf</t>
      </text>
    </comment>
    <comment ref="W72" authorId="0" shapeId="0" xr:uid="{5014C1AE-2700-4EAF-9AFD-99EC8D654DDA}">
      <text>
        <r>
          <rPr>
            <b/>
            <sz val="9"/>
            <color indexed="81"/>
            <rFont val="Tahoma"/>
            <family val="2"/>
          </rPr>
          <t>Jamie Smyth:</t>
        </r>
        <r>
          <rPr>
            <sz val="9"/>
            <color indexed="81"/>
            <rFont val="Tahoma"/>
            <family val="2"/>
          </rPr>
          <t xml:space="preserve">
Not routinely funded</t>
        </r>
      </text>
    </comment>
    <comment ref="X72" authorId="250" shapeId="0" xr:uid="{E568A88A-18CC-448A-AA72-94CBB33137F8}">
      <text>
        <t>[Threaded comment]
Your version of Excel allows you to read this threaded comment; however, any edits to it will get removed if the file is opened in a newer version of Excel. Learn more: https://go.microsoft.com/fwlink/?linkid=870924
Comment:
    Provision of wigs: restricted https://www.healthierlsc.co.uk/application/files/4816/8487/3599/LSCICB_Clin43_Policy_for_Cosmetic_Procedures_v3.2.pdf</t>
      </text>
    </comment>
    <comment ref="Z72" authorId="251" shapeId="0" xr:uid="{DC40CFB4-2F0B-407F-AD08-39F48B80C7F6}">
      <text>
        <t>[Threaded comment]
Your version of Excel allows you to read this threaded comment; however, any edits to it will get removed if the file is opened in a newer version of Excel. Learn more: https://go.microsoft.com/fwlink/?linkid=870924
Comment:
    Unable to find ref https://lincolnshire.icb.nhs.uk/~documents/icb-publications/our-policies-and-procedures/clinical-governance/cg-003-prior-approval-policy/?layout=file</t>
      </text>
    </comment>
    <comment ref="AA72" authorId="0" shapeId="0" xr:uid="{DDCBEB89-3C4C-4A58-B270-3A522194BD63}">
      <text>
        <r>
          <rPr>
            <b/>
            <sz val="9"/>
            <color indexed="81"/>
            <rFont val="Tahoma"/>
            <family val="2"/>
          </rPr>
          <t>Jamie Smyth:</t>
        </r>
        <r>
          <rPr>
            <sz val="9"/>
            <color indexed="81"/>
            <rFont val="Tahoma"/>
            <family val="2"/>
          </rPr>
          <t xml:space="preserve">
https://www.midandsouthessex.ics.nhs.uk/publications/srp-111-wigs-hairpieces-and-hair-transplantation/</t>
        </r>
      </text>
    </comment>
    <comment ref="AI72" authorId="0" shapeId="0" xr:uid="{E328D18A-B355-47FB-98BC-A005B017D170}">
      <text>
        <r>
          <rPr>
            <b/>
            <sz val="9"/>
            <color indexed="81"/>
            <rFont val="Tahoma"/>
            <family val="2"/>
          </rPr>
          <t>Jamie Smyth:</t>
        </r>
        <r>
          <rPr>
            <sz val="9"/>
            <color indexed="81"/>
            <rFont val="Tahoma"/>
            <family val="2"/>
          </rPr>
          <t xml:space="preserve">
Page 12 - Cosmetic/Aesthetic procedures</t>
        </r>
      </text>
    </comment>
    <comment ref="AL72" authorId="252" shapeId="0" xr:uid="{DCB36BEA-405D-41C3-8E92-97C80D28A374}">
      <text>
        <t xml:space="preserve">[Threaded comment]
Your version of Excel allows you to read this threaded comment; however, any edits to it will get removed if the file is opened in a newer version of Excel. Learn more: https://go.microsoft.com/fwlink/?linkid=870924
Comment:
    Does this count as exceptional criteria? So criteria or IFR? Hair transplantation will not be routinely commissioned by the NHS for cosmetic reasons, regardless of gender. Hair transplantation may be considered on an exceptional basis, for example when reconstruction of the eyebrow is needed following cancer or trauma. </t>
      </text>
    </comment>
    <comment ref="AN72" authorId="253" shapeId="0" xr:uid="{923EDE6F-D7E1-4298-808E-DE3BFFB587D1}">
      <text>
        <t>[Threaded comment]
Your version of Excel allows you to read this threaded comment; however, any edits to it will get removed if the file is opened in a newer version of Excel. Learn more: https://go.microsoft.com/fwlink/?linkid=870924
Comment:
    Cannot find ref https://suffolkandnortheastessex.icb.nhs.uk/about-us/our-policies/</t>
      </text>
    </comment>
    <comment ref="AQ72" authorId="254" shapeId="0" xr:uid="{9329FEF6-DD2C-4A84-B858-10CA0CF5A7FB}">
      <text>
        <t>[Threaded comment]
Your version of Excel allows you to read this threaded comment; however, any edits to it will get removed if the file is opened in a newer version of Excel. Learn more: https://go.microsoft.com/fwlink/?linkid=870924
Comment:
    Criteria for wigs https://www.wypartnership.co.uk/application/files/7817/3140/4698/Wigs_and_Hair_Replacement_Policy_11_2024.pdf
Reply:
    “Wigs will be routinely commissioned outside of cancer pathways for the following indications: ” https://www.wypartnership.co.uk/application/files/7817/3140/4698/Wigs_and_Hair_Replacement_Policy_11_2024.pdf</t>
      </text>
    </comment>
    <comment ref="F73" authorId="255" shapeId="0" xr:uid="{F01E2E31-014A-47BF-B161-6CCB5EFA2638}">
      <text>
        <t>[Threaded comment]
Your version of Excel allows you to read this threaded comment; however, any edits to it will get removed if the file is opened in a newer version of Excel. Learn more: https://go.microsoft.com/fwlink/?linkid=870924
Comment:
    Just checking reference was to acupuncture for headaches https://blackcountry.icb.nhs.uk/have-your-say/get-involved/current-consultations-and-engagement/clinical-policy-review4</t>
      </text>
    </comment>
    <comment ref="H73" authorId="0" shapeId="0" xr:uid="{B6B0D72A-4797-4D08-8026-9490ACD14C82}">
      <text>
        <r>
          <rPr>
            <b/>
            <sz val="9"/>
            <color indexed="81"/>
            <rFont val="Tahoma"/>
            <family val="2"/>
          </rPr>
          <t>Jamie Smyth:</t>
        </r>
        <r>
          <rPr>
            <sz val="9"/>
            <color indexed="81"/>
            <rFont val="Tahoma"/>
            <family val="2"/>
          </rPr>
          <t xml:space="preserve">
Botulinum A for chronic migraine - AO unable to find
https://www.bucksoxonberksw.icb.nhs.uk/media/4744/tvpc12-botulinum-toxin-a-nov-2019_v11-bu.pdf</t>
        </r>
      </text>
    </comment>
    <comment ref="K73" authorId="0" shapeId="0" xr:uid="{170634A5-1E47-4844-8AA8-CF7D78432E80}">
      <text>
        <r>
          <rPr>
            <b/>
            <sz val="9"/>
            <color indexed="81"/>
            <rFont val="Tahoma"/>
            <family val="2"/>
          </rPr>
          <t>Jamie Smyth:</t>
        </r>
        <r>
          <rPr>
            <sz val="9"/>
            <color indexed="81"/>
            <rFont val="Tahoma"/>
            <family val="2"/>
          </rPr>
          <t xml:space="preserve">
Closure of patent foramen ovale for migraine - commissioned with criteria</t>
        </r>
      </text>
    </comment>
    <comment ref="O73" authorId="0" shapeId="0" xr:uid="{5E3F8797-CE8A-4C0B-A930-BB7CBA554FF3}">
      <text>
        <r>
          <rPr>
            <b/>
            <sz val="9"/>
            <color indexed="81"/>
            <rFont val="Tahoma"/>
            <family val="2"/>
          </rPr>
          <t>Jamie Smyth:</t>
        </r>
        <r>
          <rPr>
            <sz val="9"/>
            <color indexed="81"/>
            <rFont val="Tahoma"/>
            <family val="2"/>
          </rPr>
          <t xml:space="preserve">
Closure of Patent Foramen Ovale for Migraine policy
</t>
        </r>
      </text>
    </comment>
    <comment ref="U73" authorId="0" shapeId="0" xr:uid="{7B797DFE-3461-4B11-B463-B2F9932E8413}">
      <text>
        <r>
          <rPr>
            <b/>
            <sz val="9"/>
            <color indexed="81"/>
            <rFont val="Tahoma"/>
            <family val="2"/>
          </rPr>
          <t>Jamie Smyth:</t>
        </r>
        <r>
          <rPr>
            <sz val="9"/>
            <color indexed="81"/>
            <rFont val="Tahoma"/>
            <family val="2"/>
          </rPr>
          <t xml:space="preserve">
Can't find mention of Specific policies. AO: botox for migraine https://www.hweclinicalguidance.nhs.uk/all-clinical-areas-documents/download?cid=947&amp;checksum=c4b31ce7d95c75ca70d50c19aef08bf1 </t>
        </r>
      </text>
    </comment>
    <comment ref="V73" authorId="0" shapeId="0" xr:uid="{10E7E88D-8C8B-4CC1-9579-102876DC7D56}">
      <text>
        <r>
          <rPr>
            <b/>
            <sz val="9"/>
            <color indexed="81"/>
            <rFont val="Tahoma"/>
            <family val="2"/>
          </rPr>
          <t>Jamie Smyth:</t>
        </r>
        <r>
          <rPr>
            <sz val="9"/>
            <color indexed="81"/>
            <rFont val="Tahoma"/>
            <family val="2"/>
          </rPr>
          <t xml:space="preserve">
Botulinum Toxin A and Chronic Migraine policy</t>
        </r>
      </text>
    </comment>
    <comment ref="W73" authorId="256" shapeId="0" xr:uid="{C6591AFA-8CDB-4E58-8428-885F357C2528}">
      <text>
        <t>[Threaded comment]
Your version of Excel allows you to read this threaded comment; however, any edits to it will get removed if the file is opened in a newer version of Excel. Learn more: https://go.microsoft.com/fwlink/?linkid=870924
Comment:
    https://www.kentandmedway.icb.nhs.uk/application/files/9817/1292/6708/KM_RaTC_April_2024.pdf “Cluster headache: Restricted (prior approval not required). Migraine and other types of headache: Not routinely funded. ”</t>
      </text>
    </comment>
    <comment ref="Z73" authorId="0" shapeId="0" xr:uid="{E9CC221D-4C51-4320-B510-DCFAA9097747}">
      <text>
        <r>
          <rPr>
            <b/>
            <sz val="9"/>
            <color indexed="81"/>
            <rFont val="Tahoma"/>
            <family val="2"/>
          </rPr>
          <t>Jamie Smyth:</t>
        </r>
        <r>
          <rPr>
            <sz val="9"/>
            <color indexed="81"/>
            <rFont val="Tahoma"/>
            <family val="2"/>
          </rPr>
          <t xml:space="preserve">
Occipital Nerve Stimulation for adults with intractable chronic migraines &amp; medically refractory chronic cluster headaches - Page 119. AO: unable to find? https://lincolnshire.icb.nhs.uk/~documents/icb-publications/our-policies-and-procedures/clinical-governance/cg-003-prior-approval-policy/?layout=file</t>
        </r>
      </text>
    </comment>
    <comment ref="AA73" authorId="257" shapeId="0" xr:uid="{BA304FDD-3888-4B87-9447-5181A5D55385}">
      <text>
        <t>[Threaded comment]
Your version of Excel allows you to read this threaded comment; however, any edits to it will get removed if the file is opened in a newer version of Excel. Learn more: https://go.microsoft.com/fwlink/?linkid=870924
Comment:
    Tick - botox for headaches https://www.midandsouthessex.ics.nhs.uk/publications/022-conditions-involving-the-use-of-botulinum-toxin/</t>
      </text>
    </comment>
    <comment ref="AB73" authorId="258" shapeId="0" xr:uid="{A90EC008-6F76-4440-977B-05A5D1BF0DD0}">
      <text>
        <t xml:space="preserve">[Threaded comment]
Your version of Excel allows you to read this threaded comment; however, any edits to it will get removed if the file is opened in a newer version of Excel. Learn more: https://go.microsoft.com/fwlink/?linkid=870924
Comment:
    Tick “Acupuncture (Needle therapy for pain relief and other conditions)
Referrals for Acupuncture are considered of low priority and will only be funded by Norfolk and Waveney Integrated Care Board (ICB) in the management of migraines and tension type headaches as per NICE Guidance CG150” https://nwknowledgenow.nhs.uk/content/acupuncture/
</t>
      </text>
    </comment>
    <comment ref="AJ73" authorId="0" shapeId="0" xr:uid="{E020D171-01B2-4653-99A7-2AB2AC8AD1EB}">
      <text>
        <r>
          <rPr>
            <b/>
            <sz val="9"/>
            <color indexed="81"/>
            <rFont val="Tahoma"/>
            <family val="2"/>
          </rPr>
          <t>Jamie Smyth:</t>
        </r>
        <r>
          <rPr>
            <sz val="9"/>
            <color indexed="81"/>
            <rFont val="Tahoma"/>
            <family val="2"/>
          </rPr>
          <t xml:space="preserve">
Acupuncture for Migraine Prophylaxis Policy</t>
        </r>
      </text>
    </comment>
    <comment ref="AL73" authorId="259" shapeId="0" xr:uid="{028EFCCA-638A-4A0F-921C-CDB7046D4429}">
      <text>
        <t>[Threaded comment]
Your version of Excel allows you to read this threaded comment; however, any edits to it will get removed if the file is opened in a newer version of Excel. Learn more: https://go.microsoft.com/fwlink/?linkid=870924
Comment:
    Acupuncture for “Not Routinely Commissioned except for chronic tension type headaches and migraine ” https://syics.co.uk/application/files/5916/8017/2095/FINAL_EBI_CFO_v.24_Final_27_March_2023.pdf
Reply:
    So tick?</t>
      </text>
    </comment>
    <comment ref="AM73" authorId="0" shapeId="0" xr:uid="{C548EEA2-00BF-4C98-971E-A950140DB0DD}">
      <text>
        <r>
          <rPr>
            <b/>
            <sz val="9"/>
            <color indexed="81"/>
            <rFont val="Tahoma"/>
            <family val="2"/>
          </rPr>
          <t>Jamie Smyth:</t>
        </r>
        <r>
          <rPr>
            <sz val="9"/>
            <color indexed="81"/>
            <rFont val="Tahoma"/>
            <family val="2"/>
          </rPr>
          <t xml:space="preserve">
Closure of Patent Foramen Ovale (PFO) for migraine headache  - page 12</t>
        </r>
      </text>
    </comment>
    <comment ref="AO73" authorId="0" shapeId="0" xr:uid="{6A06F95A-68BC-454B-ABED-51286C931FC9}">
      <text>
        <r>
          <rPr>
            <b/>
            <sz val="9"/>
            <color indexed="81"/>
            <rFont val="Tahoma"/>
            <family val="2"/>
          </rPr>
          <t>Jamie Smyth:</t>
        </r>
        <r>
          <rPr>
            <sz val="9"/>
            <color indexed="81"/>
            <rFont val="Tahoma"/>
            <family val="2"/>
          </rPr>
          <t xml:space="preserve">
https://www.surreyheartlands.org/tnrf1-musculoskeletal
Occipital Nerve Stimulation (ONS) for management of medically intractable migraine, medically refractory cluster headaches and facial pain (treatment for chronic and severe headaches)</t>
        </r>
      </text>
    </comment>
    <comment ref="AP73" authorId="0" shapeId="0" xr:uid="{A84F4DEC-83F4-4420-9584-8B1B1A169628}">
      <text>
        <r>
          <rPr>
            <b/>
            <sz val="9"/>
            <color indexed="81"/>
            <rFont val="Tahoma"/>
            <family val="2"/>
          </rPr>
          <t>Jamie Smyth:</t>
        </r>
        <r>
          <rPr>
            <sz val="9"/>
            <color indexed="81"/>
            <rFont val="Tahoma"/>
            <family val="2"/>
          </rPr>
          <t xml:space="preserve">
7. Botulinum Toxin Injections - Page 21</t>
        </r>
      </text>
    </comment>
    <comment ref="K74" authorId="260" shapeId="0" xr:uid="{EED2E593-DD4E-4588-A928-8133A24B8098}">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M74" authorId="261" shapeId="0" xr:uid="{71A8B311-B7E6-40CA-82CB-641DD804EBA1}">
      <text>
        <t>[Threaded comment]
Your version of Excel allows you to read this threaded comment; however, any edits to it will get removed if the file is opened in a newer version of Excel. Learn more: https://go.microsoft.com/fwlink/?linkid=870924
Comment:
    IFR https://www.derbyshiremedicinesmanagement.nhs.uk/assets/Clinical-Policies/Clinical_Policies/Cosmetic/cosmetic/Not_Routinely_Commissioned_Cosmetic_Procedures.pdf</t>
      </text>
    </comment>
    <comment ref="T74" authorId="262" shapeId="0" xr:uid="{569D6033-34F6-44AA-A216-E06904F4EF19}">
      <text>
        <t>[Threaded comment]
Your version of Excel allows you to read this threaded comment; however, any edits to it will get removed if the file is opened in a newer version of Excel. Learn more: https://go.microsoft.com/fwlink/?linkid=870924
Comment:
    IFR https://www.hwics.org.uk/application/files/9117/2733/7780/Helmet_Therapy_ICB_Clinical_Commissioning_Position_Statement_-_Final_September_2024.pdf</t>
      </text>
    </comment>
    <comment ref="AM74" authorId="263" shapeId="0" xr:uid="{D540B376-861E-4ADE-9F6B-01600590DFED}">
      <text>
        <t xml:space="preserve">[Threaded comment]
Your version of Excel allows you to read this threaded comment; however, any edits to it will get removed if the file is opened in a newer version of Excel. Learn more: https://go.microsoft.com/fwlink/?linkid=870924
Comment:
    IFR - https://staffsstoke.icb.nhs.uk/your-nhs-integrated-care-board/our-publications/governance-handbook/all-policies/commissioning/icb-excluded-and-restricted-procedures-policy-v3-1/?layout=file Cranial Molding Orthosis (Helmet Therapy) </t>
      </text>
    </comment>
    <comment ref="F75" authorId="0" shapeId="0" xr:uid="{F663F648-68DC-449C-B31F-4A01C2276986}">
      <text>
        <r>
          <rPr>
            <b/>
            <sz val="9"/>
            <color indexed="81"/>
            <rFont val="Tahoma"/>
            <family val="2"/>
          </rPr>
          <t>Jamie Smyth:</t>
        </r>
        <r>
          <rPr>
            <sz val="9"/>
            <color indexed="81"/>
            <rFont val="Tahoma"/>
            <family val="2"/>
          </rPr>
          <t xml:space="preserve">
Inguinal hernia policy</t>
        </r>
      </text>
    </comment>
    <comment ref="G75" authorId="0" shapeId="0" xr:uid="{FFD40DFA-B652-4D50-9975-642CC83CB4BE}">
      <text>
        <r>
          <rPr>
            <b/>
            <sz val="9"/>
            <color indexed="81"/>
            <rFont val="Tahoma"/>
            <family val="2"/>
          </rPr>
          <t>Jamie Smyth:</t>
        </r>
        <r>
          <rPr>
            <sz val="9"/>
            <color indexed="81"/>
            <rFont val="Tahoma"/>
            <family val="2"/>
          </rPr>
          <t xml:space="preserve">
Abdominal Wall Hernia Repair for Patients 16 years and over  policy</t>
        </r>
      </text>
    </comment>
    <comment ref="J75" authorId="264" shapeId="0" xr:uid="{40B39D79-DC73-44F7-A4F4-4B072D320886}">
      <text>
        <t>[Threaded comment]
Your version of Excel allows you to read this threaded comment; however, any edits to it will get removed if the file is opened in a newer version of Excel. Learn more: https://go.microsoft.com/fwlink/?linkid=870924
Comment:
    IFR? https://www.cheshireandmerseyside.nhs.uk/media/ft3ljzb3/pol-clin0083-hernia-v1-final.pdf</t>
      </text>
    </comment>
    <comment ref="S75" authorId="265" shapeId="0" xr:uid="{A2DEB62B-8C19-4588-88A0-40C253F97039}">
      <text>
        <t>[Threaded comment]
Your version of Excel allows you to read this threaded comment; however, any edits to it will get removed if the file is opened in a newer version of Excel. Learn more: https://go.microsoft.com/fwlink/?linkid=870924
Comment:
    https://fundingrequests.scwcsu.nhs.uk/wp-content/uploads/2025/03/SERPC-02-Hernia-repair-in-adults-primary-and-recurrent-v1.0-HIOW-ICB.pdf criteria based</t>
      </text>
    </comment>
    <comment ref="U75" authorId="0" shapeId="0" xr:uid="{C88AA6C5-1A55-40CA-8FBA-7C544149DE3B}">
      <text>
        <r>
          <rPr>
            <b/>
            <sz val="9"/>
            <color indexed="81"/>
            <rFont val="Tahoma"/>
            <family val="2"/>
          </rPr>
          <t>Jamie Smyth:</t>
        </r>
        <r>
          <rPr>
            <sz val="9"/>
            <color indexed="81"/>
            <rFont val="Tahoma"/>
            <family val="2"/>
          </rPr>
          <t xml:space="preserve">
Can't find mention of Specific policies</t>
        </r>
      </text>
    </comment>
    <comment ref="V75" authorId="266" shapeId="0" xr:uid="{22BEE028-6CCB-4DB4-BAAB-B29D25D9CE09}">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https://humberandnorthyorkshire.icb.nhs.uk/wp-content/uploads/2025/04/108-Inguinal-hernia-repair-adults.docx</t>
      </text>
    </comment>
    <comment ref="Z75" authorId="267" shapeId="0" xr:uid="{4CEA88B9-38FE-4009-A339-72EC703494D9}">
      <text>
        <t>[Threaded comment]
Your version of Excel allows you to read this threaded comment; however, any edits to it will get removed if the file is opened in a newer version of Excel. Learn more: https://go.microsoft.com/fwlink/?linkid=870924
Comment:
    Tick prior approval https://lincolnshire.icb.nhs.uk/~documents/icb-publications/our-policies-and-procedures/clinical-governance/cg-003-prior-approval-policy/?layout=file</t>
      </text>
    </comment>
    <comment ref="AA75" authorId="0" shapeId="0" xr:uid="{9DB08652-7C6C-4468-AC39-BC74CB4D82CA}">
      <text>
        <r>
          <rPr>
            <b/>
            <sz val="9"/>
            <color indexed="81"/>
            <rFont val="Tahoma"/>
            <family val="2"/>
          </rPr>
          <t>Jamie Smyth:</t>
        </r>
        <r>
          <rPr>
            <sz val="9"/>
            <color indexed="81"/>
            <rFont val="Tahoma"/>
            <family val="2"/>
          </rPr>
          <t xml:space="preserve">
https://www.midandsouthessex.ics.nhs.uk/publications/srp-059-hernia-inguinal-umbilical-incisional-ventral-hernia-repair-surgical-treatment/</t>
        </r>
      </text>
    </comment>
    <comment ref="E76" authorId="268" shapeId="0" xr:uid="{652A9CAC-BE70-4AB9-8819-F3AA52B707D8}">
      <text>
        <t>[Threaded comment]
Your version of Excel allows you to read this threaded comment; however, any edits to it will get removed if the file is opened in a newer version of Excel. Learn more: https://go.microsoft.com/fwlink/?linkid=870924
Comment:
    Should be a tick https://www.birminghamsolihull.icb.nhs.uk/application/files/8916/4872/3487/MRI_scan_of_the_hip_for_arthritis.pdf</t>
      </text>
    </comment>
    <comment ref="F76" authorId="269" shapeId="0" xr:uid="{B69B94B5-EEE5-4B6F-A24F-0A10A4F6BF12}">
      <text>
        <t>[Threaded comment]
Your version of Excel allows you to read this threaded comment; however, any edits to it will get removed if the file is opened in a newer version of Excel. Learn more: https://go.microsoft.com/fwlink/?linkid=870924
Comment:
    The Black Country ICB will not routinely fund MRI scan of the hip within primary care to diagnose osteoarthritis.
The Black Country ICB will fund MRI scan of the hip when there are concerns that there are other causes for the patient’s symptoms.
An MRI of the hip will be funded in any of the following circumstances (whether the patient has suspected or confirmed osteoarthritis of the hip or not):
There has been trauma to the hip and there is worsening of symptoms.
The patient has a history of cancer or corresponding risk factors and there is a suspicion that bone metastases might explain the patient’s symptoms.
An infection is suspected.
There is a suggesting of mechanical, impingement type symptoms.
Prolonged / morning stiffness particularly if there is a family history of inflammatory arthropathies.
When osteonecrosis / avascular necrosis of the hip is suspected.
When transient osteoporosis is suspected.
When periarticular soft tissue pathology e.g., abductor tendinopathy is suspected
https://blackcountry.icb.nhs.uk/have-your-say/get-involved/current-consultations-and-engagement/clinical-policy-review2</t>
      </text>
    </comment>
    <comment ref="O76" authorId="270" shapeId="0" xr:uid="{CD47F3BD-8BC5-4C54-ACDF-E1F2AEE4D21D}">
      <text>
        <t>[Threaded comment]
Your version of Excel allows you to read this threaded comment; however, any edits to it will get removed if the file is opened in a newer version of Excel. Learn more: https://go.microsoft.com/fwlink/?linkid=870924
Comment:
    Criteria based https://nhsdorset.nhs.uk/wp-content/uploads/2023/10/NHS-Dorset-EBI-MRI-scan-of-the-hip-for-arthritis.pdf</t>
      </text>
    </comment>
    <comment ref="R76" authorId="271" shapeId="0" xr:uid="{9F624B52-8B80-4FC0-ABBC-F919A4AF4438}">
      <text>
        <t>[Threaded comment]
Your version of Excel allows you to read this threaded comment; however, any edits to it will get removed if the file is opened in a newer version of Excel. Learn more: https://go.microsoft.com/fwlink/?linkid=870924
Comment:
    https://www.aomrc.org.uk/wp-content/uploads/2020/12/EBI_list2_guidance_150321.pdf EBI</t>
      </text>
    </comment>
    <comment ref="T76" authorId="272" shapeId="0" xr:uid="{A92D16F4-C971-43C9-B9BF-A8FF92CFE6B6}">
      <text>
        <t>[Threaded comment]
Your version of Excel allows you to read this threaded comment; however, any edits to it will get removed if the file is opened in a newer version of Excel. Learn more: https://go.microsoft.com/fwlink/?linkid=870924
Comment:
    “NHS England EBI contractual requirements confirm that MRI should not routinely be undertaken in any setting where clinical assessment is indicative of osteoarthritis (OA) and plain radiographs demonstrate typical OA features. ” https://www.hwics.org.uk/application/files/2117/0904/4510/ICB_MSK_Surgery_and_Therapy_V1.5_Final_6.pdf
Reply:
    ? Therefore IFR</t>
      </text>
    </comment>
    <comment ref="U76" authorId="273" shapeId="0" xr:uid="{76DBBC96-420E-4455-A44F-DB7533764E59}">
      <text>
        <t>[Threaded comment]
Your version of Excel allows you to read this threaded comment; however, any edits to it will get removed if the file is opened in a newer version of Excel. Learn more: https://go.microsoft.com/fwlink/?linkid=870924
Comment:
    Tick https://www.hweclinicalguidance.nhs.uk/all-clinical-areas-documents/search-results/hip-pain/</t>
      </text>
    </comment>
    <comment ref="W76" authorId="274" shapeId="0" xr:uid="{60F55956-D69F-4407-88D2-DD22216A2807}">
      <text>
        <t>[Threaded comment]
Your version of Excel allows you to read this threaded comment; however, any edits to it will get removed if the file is opened in a newer version of Excel. Learn more: https://go.microsoft.com/fwlink/?linkid=870924
Comment:
    Tick “Hip MRI for arthritis” https://www.kentandmedway.icb.nhs.uk/application/files/9817/1292/6708/KM_RaTC_April_2024.pdf</t>
      </text>
    </comment>
    <comment ref="Z76" authorId="275" shapeId="0" xr:uid="{60BC7C4D-9935-4B90-99EF-A72D1207621F}">
      <text>
        <t>[Threaded comment]
Your version of Excel allows you to read this threaded comment; however, any edits to it will get removed if the file is opened in a newer version of Excel. Learn more: https://go.microsoft.com/fwlink/?linkid=870924
Comment:
    Should be tick EBI https://lincolnshire.icb.nhs.uk/~documents/icb-publications/our-policies-and-procedures/clinical-governance/cg-003-prior-approval-policy/?layout=file</t>
      </text>
    </comment>
    <comment ref="AI76" authorId="276" shapeId="0" xr:uid="{95947E08-D7AB-47AF-8BAE-5599529A2D23}">
      <text>
        <t xml:space="preserve">[Threaded comment]
Your version of Excel allows you to read this threaded comment; however, any edits to it will get removed if the file is opened in a newer version of Excel. Learn more: https://go.microsoft.com/fwlink/?linkid=870924
Comment:
    Tick - “MRI Scan of the Hip for Arthritis” </t>
      </text>
    </comment>
    <comment ref="F77" authorId="0" shapeId="0" xr:uid="{24571010-BEBE-4909-B7AA-F9FDC30E96F3}">
      <text>
        <r>
          <rPr>
            <b/>
            <sz val="9"/>
            <color indexed="81"/>
            <rFont val="Tahoma"/>
            <family val="2"/>
          </rPr>
          <t>Jamie Smyth:</t>
        </r>
        <r>
          <rPr>
            <sz val="9"/>
            <color indexed="81"/>
            <rFont val="Tahoma"/>
            <family val="2"/>
          </rPr>
          <t xml:space="preserve">
Elective hip replacement policy
AO: cannot find?
Policy seems to have moved
</t>
        </r>
      </text>
    </comment>
    <comment ref="J77" authorId="0" shapeId="0" xr:uid="{3B49B8A1-9FEB-4FF0-90CF-0426920020A5}">
      <text>
        <r>
          <rPr>
            <b/>
            <sz val="9"/>
            <color indexed="81"/>
            <rFont val="Tahoma"/>
            <family val="2"/>
          </rPr>
          <t>Jamie Smyth:</t>
        </r>
        <r>
          <rPr>
            <sz val="9"/>
            <color indexed="81"/>
            <rFont val="Tahoma"/>
            <family val="2"/>
          </rPr>
          <t xml:space="preserve">
Hip and  Knee Replacement Policy</t>
        </r>
      </text>
    </comment>
    <comment ref="V77" authorId="277" shapeId="0" xr:uid="{C6BBA418-557D-43F2-8E7B-D7A493856997}">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https://humberandnorthyorkshire.icb.nhs.uk/wp-content/uploads/2025/04/124-Hip-and-Knee-Replacement-Surgery.docx</t>
      </text>
    </comment>
    <comment ref="Z77" authorId="0" shapeId="0" xr:uid="{13720FB2-BAD6-4628-A5D6-48F9DB4B85DE}">
      <text>
        <r>
          <rPr>
            <b/>
            <sz val="9"/>
            <color indexed="81"/>
            <rFont val="Tahoma"/>
            <family val="2"/>
          </rPr>
          <t>Jamie Smyth:</t>
        </r>
        <r>
          <rPr>
            <sz val="9"/>
            <color indexed="81"/>
            <rFont val="Tahoma"/>
            <family val="2"/>
          </rPr>
          <t xml:space="preserve">
Hip replacement - Page 92</t>
        </r>
      </text>
    </comment>
    <comment ref="AA77" authorId="0" shapeId="0" xr:uid="{4AB1A057-000E-46D1-8806-BDD300E3B984}">
      <text>
        <r>
          <rPr>
            <b/>
            <sz val="9"/>
            <color indexed="81"/>
            <rFont val="Tahoma"/>
            <family val="2"/>
          </rPr>
          <t>Jamie Smyth:</t>
        </r>
        <r>
          <rPr>
            <sz val="9"/>
            <color indexed="81"/>
            <rFont val="Tahoma"/>
            <family val="2"/>
          </rPr>
          <t xml:space="preserve">
https://www.midandsouthessex.ics.nhs.uk/publications/srp-061-hip-joint-replacement/</t>
        </r>
      </text>
    </comment>
    <comment ref="AK77" authorId="0" shapeId="0" xr:uid="{19936114-15BC-43B8-B813-159B01647365}">
      <text>
        <r>
          <rPr>
            <b/>
            <sz val="9"/>
            <color indexed="81"/>
            <rFont val="Tahoma"/>
            <family val="2"/>
          </rPr>
          <t>Jamie Smyth:</t>
        </r>
        <r>
          <rPr>
            <sz val="9"/>
            <color indexed="81"/>
            <rFont val="Tahoma"/>
            <family val="2"/>
          </rPr>
          <t xml:space="preserve">
2.22 Hip arthroplasty page 20</t>
        </r>
      </text>
    </comment>
    <comment ref="U78" authorId="278" shapeId="0" xr:uid="{B26E0832-1406-401C-AFF3-238BA8371DA4}">
      <text>
        <t>[Threaded comment]
Your version of Excel allows you to read this threaded comment; however, any edits to it will get removed if the file is opened in a newer version of Excel. Learn more: https://go.microsoft.com/fwlink/?linkid=870924
Comment:
    Tick https://www.hweclinicalguidance.nhs.uk/all-clinical-areas-documents/search-results/oxygen/</t>
      </text>
    </comment>
    <comment ref="Z79" authorId="279" shapeId="0" xr:uid="{1AAE5AE0-079E-4AE0-8166-8C256FE92D8F}">
      <text>
        <t>[Threaded comment]
Your version of Excel allows you to read this threaded comment; however, any edits to it will get removed if the file is opened in a newer version of Excel. Learn more: https://go.microsoft.com/fwlink/?linkid=870924
Comment:
    IFR https://lincolnshire.icb.nhs.uk/~documents/icb-publications/our-policies-and-procedures/clinical-governance/cg-003-prior-approval-policy/?layout=file</t>
      </text>
    </comment>
    <comment ref="F80" authorId="0" shapeId="0" xr:uid="{9AB855E3-BE81-45E0-B97F-8A0DA8721123}">
      <text>
        <r>
          <rPr>
            <b/>
            <sz val="9"/>
            <color indexed="81"/>
            <rFont val="Tahoma"/>
            <family val="2"/>
          </rPr>
          <t>Jamie Smyth:</t>
        </r>
        <r>
          <rPr>
            <sz val="9"/>
            <color indexed="81"/>
            <rFont val="Tahoma"/>
            <family val="2"/>
          </rPr>
          <t xml:space="preserve">
Hysterectomy for HMB policy</t>
        </r>
      </text>
    </comment>
    <comment ref="I80" authorId="0" shapeId="0" xr:uid="{34E43C33-61E0-412B-AFD4-F8C348BFDB03}">
      <text>
        <r>
          <rPr>
            <b/>
            <sz val="9"/>
            <color indexed="81"/>
            <rFont val="Tahoma"/>
            <family val="2"/>
          </rPr>
          <t xml:space="preserve">Jamie Smyth:
</t>
        </r>
        <r>
          <rPr>
            <sz val="9"/>
            <color indexed="81"/>
            <rFont val="Tahoma"/>
            <family val="2"/>
          </rPr>
          <t xml:space="preserve">Management of Heavy Menstrual Bleeding (HMB) Policy </t>
        </r>
      </text>
    </comment>
    <comment ref="K80" authorId="0" shapeId="0" xr:uid="{3D4227D2-165E-48F2-AE3E-C02E3FC6019A}">
      <text>
        <r>
          <rPr>
            <b/>
            <sz val="9"/>
            <color indexed="81"/>
            <rFont val="Tahoma"/>
            <family val="2"/>
          </rPr>
          <t>Jamie Smyth:</t>
        </r>
        <r>
          <rPr>
            <sz val="9"/>
            <color indexed="81"/>
            <rFont val="Tahoma"/>
            <family val="2"/>
          </rPr>
          <t xml:space="preserve">
Hysterectomy for heavy menstrual bleeding - commissioned with criteria</t>
        </r>
      </text>
    </comment>
    <comment ref="T80" authorId="0" shapeId="0" xr:uid="{EE7AFD32-4E28-4A47-AEDA-3D357739C515}">
      <text>
        <r>
          <rPr>
            <b/>
            <sz val="9"/>
            <color indexed="81"/>
            <rFont val="Tahoma"/>
            <family val="2"/>
          </rPr>
          <t>Jamie Smyth:</t>
        </r>
        <r>
          <rPr>
            <sz val="9"/>
            <color indexed="81"/>
            <rFont val="Tahoma"/>
            <family val="2"/>
          </rPr>
          <t xml:space="preserve">
Hysterectomy for Heavy Menstrual Bleeding - Commissioning Policy v2.1</t>
        </r>
      </text>
    </comment>
    <comment ref="U80" authorId="0" shapeId="0" xr:uid="{A8068492-1078-4BE7-951C-254A09A00B8C}">
      <text>
        <r>
          <rPr>
            <b/>
            <sz val="9"/>
            <color indexed="81"/>
            <rFont val="Tahoma"/>
            <family val="2"/>
          </rPr>
          <t>Jamie Smyth:</t>
        </r>
        <r>
          <rPr>
            <sz val="9"/>
            <color indexed="81"/>
            <rFont val="Tahoma"/>
            <family val="2"/>
          </rPr>
          <t xml:space="preserve">
https://www.hweclinicalguidance.nhs.uk/clinical-policies/hysterectomy-for-heavy-menstrual-bleeding/</t>
        </r>
      </text>
    </comment>
    <comment ref="X80" authorId="0" shapeId="0" xr:uid="{3EC00429-4889-48B6-8BC5-2F17A2ED8320}">
      <text>
        <r>
          <rPr>
            <b/>
            <sz val="9"/>
            <color indexed="81"/>
            <rFont val="Tahoma"/>
            <family val="2"/>
          </rPr>
          <t>Jamie Smyth:</t>
        </r>
        <r>
          <rPr>
            <sz val="9"/>
            <color indexed="81"/>
            <rFont val="Tahoma"/>
            <family val="2"/>
          </rPr>
          <t xml:space="preserve">
Policy for the Excision of the Uterus for the Treatment of Menorrhagia (Heavy Menstrual Bleeding) </t>
        </r>
      </text>
    </comment>
    <comment ref="AA80" authorId="0" shapeId="0" xr:uid="{310AD27E-2872-447F-A867-65C17B8EC9D8}">
      <text>
        <r>
          <rPr>
            <b/>
            <sz val="9"/>
            <color indexed="81"/>
            <rFont val="Tahoma"/>
            <family val="2"/>
          </rPr>
          <t>Jamie Smyth:</t>
        </r>
        <r>
          <rPr>
            <sz val="9"/>
            <color indexed="81"/>
            <rFont val="Tahoma"/>
            <family val="2"/>
          </rPr>
          <t xml:space="preserve">
https://www.midandsouthessex.ics.nhs.uk/publications/srp-058-heavy-menstrual-bleeding-including-uterine-fibroids/</t>
        </r>
      </text>
    </comment>
    <comment ref="AM80" authorId="0" shapeId="0" xr:uid="{A3D8A5CC-4D4B-405B-ADEE-07694DDD9DAD}">
      <text>
        <r>
          <rPr>
            <b/>
            <sz val="9"/>
            <color indexed="81"/>
            <rFont val="Tahoma"/>
            <family val="2"/>
          </rPr>
          <t>Jamie Smyth:</t>
        </r>
        <r>
          <rPr>
            <sz val="9"/>
            <color indexed="81"/>
            <rFont val="Tahoma"/>
            <family val="2"/>
          </rPr>
          <t xml:space="preserve">
Hysterectomy for menorrhagia Will be routinely commissioned under the following:
Page 42</t>
        </r>
      </text>
    </comment>
    <comment ref="D81" authorId="280" shapeId="0" xr:uid="{221B3412-5685-42C8-86CF-B96C2B0392AF}">
      <text>
        <t>[Threaded comment]
Your version of Excel allows you to read this threaded comment; however, any edits to it will get removed if the file is opened in a newer version of Excel. Learn more: https://go.microsoft.com/fwlink/?linkid=870924
Comment:
    Looks like part of pathway? https://bedfordshirelutonandmiltonkeynes.icb.nhs.uk/~documents/policies/evidence-based-clinical-policies/heavy-menstrual-bleeding</t>
      </text>
    </comment>
    <comment ref="I81" authorId="281" shapeId="0" xr:uid="{3D21A64E-DCFD-4292-B98D-C921DFCE6890}">
      <text>
        <t>[Threaded comment]
Your version of Excel allows you to read this threaded comment; however, any edits to it will get removed if the file is opened in a newer version of Excel. Learn more: https://go.microsoft.com/fwlink/?linkid=870924
Comment:
    Should be a tick https://www.cpics.org.uk/download.cfm?doc=docm93jijm4n1152.pdf&amp;ver=2100</t>
      </text>
    </comment>
    <comment ref="K81" authorId="282" shapeId="0" xr:uid="{D485D7CD-6D26-4B28-88EB-A050B8E4692C}">
      <text>
        <t xml:space="preserve">[Threaded comment]
Your version of Excel allows you to read this threaded comment; however, any edits to it will get removed if the file is opened in a newer version of Excel. Learn more: https://go.microsoft.com/fwlink/?linkid=870924
Comment:
    https://docs.cios.icb.nhs.uk/DocumentsLibrary/NHSCornwallAndIslesOfScilly/Services/IndividualFundingRequests/CommissioningPolicies.pdf Ultrasound scans and camera tests with sampling of the lining of the womb (hysteroscopy and biopsy) can be used to investigate heavy periods. </t>
      </text>
    </comment>
    <comment ref="L81" authorId="283" shapeId="0" xr:uid="{40FD1A67-2FEA-4AAB-B5B7-8940C6276E53}">
      <text>
        <t>[Threaded comment]
Your version of Excel allows you to read this threaded comment; however, any edits to it will get removed if the file is opened in a newer version of Excel. Learn more: https://go.microsoft.com/fwlink/?linkid=870924
Comment:
    For women with submucosal fibroids, consider hysteroscopic removal. https://www.happyhealthylives.uk/clientfiles/files/document_library/Hysterectomy%20for%20Menorrhagia%20Policy.pdf</t>
      </text>
    </comment>
    <comment ref="O81" authorId="284" shapeId="0" xr:uid="{CEAFD626-D347-46D4-ABEC-1578CC9BEEFB}">
      <text>
        <t>[Threaded comment]
Your version of Excel allows you to read this threaded comment; however, any edits to it will get removed if the file is opened in a newer version of Excel. Learn more: https://go.microsoft.com/fwlink/?linkid=870924
Comment:
    For women with submucosal fibroids, consider hysteroscopic removal. https://nhsdorset.nhs.uk/wp-content/uploads/2023/12/NHS-Dorset-EBI-Hysterectomy-for-heavy-menstrual-bleeding.pdf - criteria based?</t>
      </text>
    </comment>
    <comment ref="T81" authorId="285" shapeId="0" xr:uid="{97A3D53A-6C68-4927-AAF2-A2C3C139C542}">
      <text>
        <t>[Threaded comment]
Your version of Excel allows you to read this threaded comment; however, any edits to it will get removed if the file is opened in a newer version of Excel. Learn more: https://go.microsoft.com/fwlink/?linkid=870924
Comment:
    Tick https://www.hwics.org.uk/application/files/4417/3210/9783/ICB_Hysterectomy_for_HMB_Commissioning_Policy_V2.1_final.pdf</t>
      </text>
    </comment>
    <comment ref="U81" authorId="286" shapeId="0" xr:uid="{E48B6D1C-DD91-4026-AF09-56924DD6783F}">
      <text>
        <t>[Threaded comment]
Your version of Excel allows you to read this threaded comment; however, any edits to it will get removed if the file is opened in a newer version of Excel. Learn more: https://go.microsoft.com/fwlink/?linkid=870924
Comment:
    https://www.hweclinicalguidance.nhs.uk/all-clinical-areas-documents/search-results/hysterectomy-for-heavy-menstrual-bleeding/ “1.5.10 For women with submucosal fibroids, consider hysteroscopic removal.  ”</t>
      </text>
    </comment>
    <comment ref="W81" authorId="287" shapeId="0" xr:uid="{19897D95-3DD2-43E8-8C5E-008E7DBAC6A0}">
      <text>
        <t>[Threaded comment]
Your version of Excel allows you to read this threaded comment; however, any edits to it will get removed if the file is opened in a newer version of Excel. Learn more: https://go.microsoft.com/fwlink/?linkid=870924
Comment:
    Tick “• Surgical interventions funded for this patient group are second-generation endometrial ablation, hysteroscopic removal**, and hysterectomy following informed consent after a documented discussion covering the issues outlined above. ” https://www.kentandmedway.icb.nhs.uk/application/files/9817/1292/6708/KM_RaTC_April_2024.pdf</t>
      </text>
    </comment>
    <comment ref="X81" authorId="288" shapeId="0" xr:uid="{431098D2-2AC7-4192-ACD0-9E8B6A878124}">
      <text>
        <t>[Threaded comment]
Your version of Excel allows you to read this threaded comment; however, any edits to it will get removed if the file is opened in a newer version of Excel. Learn more: https://go.microsoft.com/fwlink/?linkid=870924
Comment:
    Tick - https://www.healthierlsc.co.uk/application/files/7116/8487/3598/LSCICB_Clin41_Policy_for_Hysteroscopy_v2.1.pdf</t>
      </text>
    </comment>
    <comment ref="Z81" authorId="289" shapeId="0" xr:uid="{5280FCBF-4F81-4063-B281-BEDE9D5550A1}">
      <text>
        <t>[Threaded comment]
Your version of Excel allows you to read this threaded comment; however, any edits to it will get removed if the file is opened in a newer version of Excel. Learn more: https://go.microsoft.com/fwlink/?linkid=870924
Comment:
    Tick https://lincolnshire.icb.nhs.uk/~documents/icb-publications/our-policies-and-procedures/clinical-governance/cg-003-prior-approval-policy/?layout=file mention under D&amp;C</t>
      </text>
    </comment>
    <comment ref="AA81" authorId="290" shapeId="0" xr:uid="{B9D48696-0132-4014-BD22-DB9BA2878150}">
      <text>
        <t>[Threaded comment]
Your version of Excel allows you to read this threaded comment; however, any edits to it will get removed if the file is opened in a newer version of Excel. Learn more: https://go.microsoft.com/fwlink/?linkid=870924
Comment:
    “Hysteroscopic mechanical tissue removal (hysteroscopic morcellation) for uterine fibroids  ” - IFR https://www.midandsouthessex.ics.nhs.uk/publications/srp-058-heavy-menstrual-bleeding-including-uterine-fibroids/
Reply:
    Also tick https://www.midandsouthessex.ics.nhs.uk/publications/064-hysteroscopy-dilatation-and-curettage-dc/</t>
      </text>
    </comment>
    <comment ref="AE81" authorId="291" shapeId="0" xr:uid="{A2EFF515-54A8-4AD1-AE8F-28C50095AB9C}">
      <text>
        <t>[Threaded comment]
Your version of Excel allows you to read this threaded comment; however, any edits to it will get removed if the file is opened in a newer version of Excel. Learn more: https://go.microsoft.com/fwlink/?linkid=870924
Comment:
    For women with submucosal fibroids, consider hysteroscopic removal https://primarycare.northeastlondon.icb.nhs.uk/wp-content/uploads/2024/05/NEL-EBI-Policy-Version-2.2-Final.pdf</t>
      </text>
    </comment>
    <comment ref="AH81" authorId="292" shapeId="0" xr:uid="{B8F73EAF-4DDA-4786-9712-73F8429562DF}">
      <text>
        <t xml:space="preserve">[Threaded comment]
Your version of Excel allows you to read this threaded comment; however, any edits to it will get removed if the file is opened in a newer version of Excel. Learn more: https://go.microsoft.com/fwlink/?linkid=870924
Comment:
    IFR/ tick - D&amp;C (including hysteroscopy) is not commissioned as a diagnostic tool or as a therapeutic treatment for menorrhagia. It may be commissioned in the following cases: • As an investigation for structural and histological abnormalities where hysteroscopy and ultrasound has been used as a first line diagnostic tool and where the outcomes are inconclusive. • Post-dilatation, pre-procedure when undertaking endometrial ablation. https://notts.icb.nhs.uk/wp-content/uploads/sites/2/2022/04/Value-Based-Commissioning-PolicyV1.4-2.pdf </t>
      </text>
    </comment>
    <comment ref="AJ81" authorId="293" shapeId="0" xr:uid="{B32C80EC-3942-4274-91BB-E11DD9F37B57}">
      <text>
        <t>[Threaded comment]
Your version of Excel allows you to read this threaded comment; however, any edits to it will get removed if the file is opened in a newer version of Excel. Learn more: https://go.microsoft.com/fwlink/?linkid=870924
Comment:
    Ref to hysteroscopy for fibroids https://nhssomerset.nhs.uk/wp-content/uploads/sites/2/Hysterectomy-for-Menorrhagia-CBA-Policy-2425.v2c-20240624.pdf</t>
      </text>
    </comment>
    <comment ref="AN81" authorId="294" shapeId="0" xr:uid="{56991089-05A9-4EAB-92A8-CBC39606C786}">
      <text>
        <t>[Threaded comment]
Your version of Excel allows you to read this threaded comment; however, any edits to it will get removed if the file is opened in a newer version of Excel. Learn more: https://go.microsoft.com/fwlink/?linkid=870924
Comment:
    Tick - covered under “Dilatation and curettage (D&amp;C) for heavy menstrual bleeding”  https://suffolkandnortheastessex.icb.nhs.uk/about-us/our-policies/</t>
      </text>
    </comment>
    <comment ref="AO81" authorId="295" shapeId="0" xr:uid="{F93F8CE8-C696-49B0-AADC-B50C860F7C1E}">
      <text>
        <t>[Threaded comment]
Your version of Excel allows you to read this threaded comment; however, any edits to it will get removed if the file is opened in a newer version of Excel. Learn more: https://go.microsoft.com/fwlink/?linkid=870924
Comment:
    ?Tick - mentioned under “dilatation and curettage” https://www.surreyheartlands.org/tnrf2-gynaecology
Reply:
    Also under hysterectomy policy “Section 1.5.10 states: for women with submucosal fibroids, consider hysteroscopic removal. “ https://www.surreyheartlands.org/tnrf2-gynaecology</t>
      </text>
    </comment>
    <comment ref="AP81" authorId="296" shapeId="0" xr:uid="{DABF661D-0E08-404A-B18A-B8944D616082}">
      <text>
        <t>[Threaded comment]
Your version of Excel allows you to read this threaded comment; however, any edits to it will get removed if the file is opened in a newer version of Excel. Learn more: https://go.microsoft.com/fwlink/?linkid=870924
Comment:
    Tick - “Ultrasound scans and camera tests with sampling of the lining of the womb (hysteroscopy and biopsy) can be used to investigate heavy periods. ” https://int.sussex.ics.nhs.uk/clinical_documents/sussex-cec-clinical-policy/</t>
      </text>
    </comment>
    <comment ref="AQ81" authorId="297" shapeId="0" xr:uid="{CB9EAA16-B173-47D4-9D97-3712DBE776FA}">
      <text>
        <t>[Threaded comment]
Your version of Excel allows you to read this threaded comment; however, any edits to it will get removed if the file is opened in a newer version of Excel. Learn more: https://go.microsoft.com/fwlink/?linkid=870924
Comment:
    Tick - part of D&amp;C guidance https://www.wypartnership.co.uk/application/files/7315/6760/0089/NHSE_EBI_Dilation_and_curettage_DC.pdf</t>
      </text>
    </comment>
    <comment ref="T82" authorId="298" shapeId="0" xr:uid="{7825161E-E3C5-482D-B7FD-BDF87C1BBED8}">
      <text>
        <t>[Threaded comment]
Your version of Excel allows you to read this threaded comment; however, any edits to it will get removed if the file is opened in a newer version of Excel. Learn more: https://go.microsoft.com/fwlink/?linkid=870924
Comment:
    Tick https://www.hwics.org.uk/application/files/2217/1776/3098/Paediatric_Allergic_Rhinitis_Pathway_v1.0_07062024.pdf</t>
      </text>
    </comment>
    <comment ref="I83" authorId="299" shapeId="0" xr:uid="{F39DD487-64C4-461A-A2B6-71016AC2C903}">
      <text>
        <t>[Threaded comment]
Your version of Excel allows you to read this threaded comment; however, any edits to it will get removed if the file is opened in a newer version of Excel. Learn more: https://go.microsoft.com/fwlink/?linkid=870924
Comment:
    Should be a tick https://www.cpics.org.uk/download.cfm?doc=docm93jijm4n1152.pdf&amp;ver=2100</t>
      </text>
    </comment>
    <comment ref="F84" authorId="0" shapeId="0" xr:uid="{56F757C7-E876-4895-B301-7FE5584AA943}">
      <text>
        <r>
          <rPr>
            <b/>
            <sz val="9"/>
            <color indexed="81"/>
            <rFont val="Tahoma"/>
            <family val="2"/>
          </rPr>
          <t>Jamie Smyth:</t>
        </r>
        <r>
          <rPr>
            <sz val="9"/>
            <color indexed="81"/>
            <rFont val="Tahoma"/>
            <family val="2"/>
          </rPr>
          <t xml:space="preserve">
Benign skin lesions policy - AO: cannot find benign skin lesions policy
Policy seems to have moved</t>
        </r>
      </text>
    </comment>
    <comment ref="K84" authorId="0" shapeId="0" xr:uid="{B2049659-CD82-4A50-8B54-9A1A99971EAA}">
      <text>
        <r>
          <rPr>
            <b/>
            <sz val="9"/>
            <color indexed="81"/>
            <rFont val="Tahoma"/>
            <family val="2"/>
          </rPr>
          <t>Jamie Smyth:</t>
        </r>
        <r>
          <rPr>
            <sz val="9"/>
            <color indexed="81"/>
            <rFont val="Tahoma"/>
            <family val="2"/>
          </rPr>
          <t xml:space="preserve">
Not routinely commissioned: Benign skin lesions</t>
        </r>
      </text>
    </comment>
    <comment ref="L84" authorId="0" shapeId="0" xr:uid="{555E5529-1D66-4B46-8B92-893D528A3B9B}">
      <text>
        <r>
          <rPr>
            <b/>
            <sz val="9"/>
            <color indexed="81"/>
            <rFont val="Tahoma"/>
            <family val="2"/>
          </rPr>
          <t>Jamie Smyth:</t>
        </r>
        <r>
          <rPr>
            <sz val="9"/>
            <color indexed="81"/>
            <rFont val="Tahoma"/>
            <family val="2"/>
          </rPr>
          <t xml:space="preserve">
Treatments Designed to Improve Aesthetic Appearance Policy</t>
        </r>
      </text>
    </comment>
    <comment ref="Q84" authorId="300" shapeId="0" xr:uid="{05AE7ED0-2403-4C71-91F7-A5D92911D96D}">
      <text>
        <t>[Threaded comment]
Your version of Excel allows you to read this threaded comment; however, any edits to it will get removed if the file is opened in a newer version of Excel. Learn more: https://go.microsoft.com/fwlink/?linkid=870924
Comment:
    IFR https://www.nhsglos.nhs.uk/wp-content/uploads/2023/07/Cosmetic-Procedures-General-Principles.pdf
Reply:
    But also prior approval https://www.nhsglos.nhs.uk/wp-content/uploads/2025/01/Removal-of-Benign-Skin-Lesions.pdf</t>
      </text>
    </comment>
    <comment ref="AE84" authorId="0" shapeId="0" xr:uid="{46A71BF2-BA15-4D8E-A415-35542B6299CC}">
      <text>
        <r>
          <rPr>
            <b/>
            <sz val="9"/>
            <color indexed="81"/>
            <rFont val="Tahoma"/>
            <family val="2"/>
          </rPr>
          <t>Jamie Smyth:</t>
        </r>
        <r>
          <rPr>
            <sz val="9"/>
            <color indexed="81"/>
            <rFont val="Tahoma"/>
            <family val="2"/>
          </rPr>
          <t xml:space="preserve">
Excision of skin and subcutaneous lesions - Page 14/15</t>
        </r>
      </text>
    </comment>
    <comment ref="AP84" authorId="0" shapeId="0" xr:uid="{434910C9-E93B-4309-A62C-8C5D8BE28BF3}">
      <text>
        <r>
          <rPr>
            <b/>
            <sz val="9"/>
            <color indexed="81"/>
            <rFont val="Tahoma"/>
            <family val="2"/>
          </rPr>
          <t>Jamie Smyth:</t>
        </r>
        <r>
          <rPr>
            <sz val="9"/>
            <color indexed="81"/>
            <rFont val="Tahoma"/>
            <family val="2"/>
          </rPr>
          <t xml:space="preserve">
27. Minor Skin Lesions (T2, 13) - Page 44</t>
        </r>
      </text>
    </comment>
    <comment ref="AQ84" authorId="0" shapeId="0" xr:uid="{52E0D9DC-5733-4480-B666-F020CA71E18F}">
      <text>
        <r>
          <rPr>
            <b/>
            <sz val="9"/>
            <color indexed="81"/>
            <rFont val="Tahoma"/>
            <family val="2"/>
          </rPr>
          <t>Jamie Smyth:</t>
        </r>
        <r>
          <rPr>
            <sz val="9"/>
            <color indexed="81"/>
            <rFont val="Tahoma"/>
            <family val="2"/>
          </rPr>
          <t xml:space="preserve">
Skin lesions (benign) removal (11.2024)  policy</t>
        </r>
      </text>
    </comment>
    <comment ref="F85" authorId="0" shapeId="0" xr:uid="{CB39B951-B1A0-4E9E-95A3-A0E40C65B061}">
      <text>
        <r>
          <rPr>
            <b/>
            <sz val="9"/>
            <color indexed="81"/>
            <rFont val="Tahoma"/>
            <family val="2"/>
          </rPr>
          <t>Jamie Smyth:</t>
        </r>
        <r>
          <rPr>
            <sz val="9"/>
            <color indexed="81"/>
            <rFont val="Tahoma"/>
            <family val="2"/>
          </rPr>
          <t xml:space="preserve">
Snoring policy</t>
        </r>
      </text>
    </comment>
    <comment ref="H85" authorId="0" shapeId="0" xr:uid="{A113FF67-B5B5-44B3-A75C-024AFF07A7E0}">
      <text>
        <r>
          <rPr>
            <b/>
            <sz val="9"/>
            <color indexed="81"/>
            <rFont val="Tahoma"/>
            <family val="2"/>
          </rPr>
          <t>Jamie Smyth:</t>
        </r>
        <r>
          <rPr>
            <sz val="9"/>
            <color indexed="81"/>
            <rFont val="Tahoma"/>
            <family val="2"/>
          </rPr>
          <t xml:space="preserve">
Snoring and Obstructive Sleep Apnoea / Hypopnoea Syndrome (OSAHS) in adults policy</t>
        </r>
      </text>
    </comment>
    <comment ref="I85" authorId="0" shapeId="0" xr:uid="{6E949D7A-2BDE-426F-9072-C3DA2820008B}">
      <text>
        <r>
          <rPr>
            <b/>
            <sz val="9"/>
            <color indexed="81"/>
            <rFont val="Tahoma"/>
            <family val="2"/>
          </rPr>
          <t>Jamie Smyth:</t>
        </r>
        <r>
          <rPr>
            <sz val="9"/>
            <color indexed="81"/>
            <rFont val="Tahoma"/>
            <family val="2"/>
          </rPr>
          <t xml:space="preserve">
Surgery for Obstructive Sleep Apnoea/Hypopnoea Syndrome (OSAHS) and Snoring Policy</t>
        </r>
      </text>
    </comment>
    <comment ref="P85" authorId="0" shapeId="0" xr:uid="{B7E9FFC5-7822-42B0-87D0-591757867007}">
      <text>
        <r>
          <rPr>
            <b/>
            <sz val="9"/>
            <color indexed="81"/>
            <rFont val="Tahoma"/>
            <family val="2"/>
          </rPr>
          <t>Jamie Smyth:</t>
        </r>
        <r>
          <rPr>
            <sz val="9"/>
            <color indexed="81"/>
            <rFont val="Tahoma"/>
            <family val="2"/>
          </rPr>
          <t xml:space="preserve">
Snoring and obstructive sleep apnoea / hypopnoea   syndrome (OSAHS) in adults - "Treatments for snoring are not normally funded where snoring is the sole problem"</t>
        </r>
      </text>
    </comment>
    <comment ref="Q85" authorId="0" shapeId="0" xr:uid="{378AB5DF-E1BD-4E53-B2D7-A710EED276BC}">
      <text>
        <r>
          <rPr>
            <b/>
            <sz val="9"/>
            <color indexed="81"/>
            <rFont val="Tahoma"/>
            <family val="2"/>
          </rPr>
          <t>Jamie Smyth:</t>
        </r>
        <r>
          <rPr>
            <sz val="9"/>
            <color indexed="81"/>
            <rFont val="Tahoma"/>
            <family val="2"/>
          </rPr>
          <t xml:space="preserve">
Surgical Intervention for Snoring policy</t>
        </r>
      </text>
    </comment>
    <comment ref="AA85" authorId="0" shapeId="0" xr:uid="{79F75FFE-0CE9-4AC6-B5CA-7381653CC4CA}">
      <text>
        <r>
          <rPr>
            <b/>
            <sz val="9"/>
            <color indexed="81"/>
            <rFont val="Tahoma"/>
            <family val="2"/>
          </rPr>
          <t>Jamie Smyth:</t>
        </r>
        <r>
          <rPr>
            <sz val="9"/>
            <color indexed="81"/>
            <rFont val="Tahoma"/>
            <family val="2"/>
          </rPr>
          <t xml:space="preserve">
https://www.midandsouthessex.ics.nhs.uk/publications/srp-092-snoring-and-snoring-ent-referrals/</t>
        </r>
      </text>
    </comment>
    <comment ref="AG85" authorId="0" shapeId="0" xr:uid="{A9A052CD-5CE1-43FC-8B04-5D3D79BBE18E}">
      <text>
        <r>
          <rPr>
            <b/>
            <sz val="9"/>
            <color indexed="81"/>
            <rFont val="Tahoma"/>
            <family val="2"/>
          </rPr>
          <t>Jamie Smyth:</t>
        </r>
        <r>
          <rPr>
            <sz val="9"/>
            <color indexed="81"/>
            <rFont val="Tahoma"/>
            <family val="2"/>
          </rPr>
          <t xml:space="preserve">
https://www.icnorthamptonshire.org.uk/documents?media_item=21599&amp;media_type=10#file-viewer
Not funded - Surgical treatments for snoring or sleep apnoea</t>
        </r>
      </text>
    </comment>
    <comment ref="AJ85" authorId="0" shapeId="0" xr:uid="{84397AA3-D888-4454-9792-73415C7C789A}">
      <text>
        <r>
          <rPr>
            <b/>
            <sz val="9"/>
            <color indexed="81"/>
            <rFont val="Tahoma"/>
            <family val="2"/>
          </rPr>
          <t>Jamie Smyth:</t>
        </r>
        <r>
          <rPr>
            <sz val="9"/>
            <color indexed="81"/>
            <rFont val="Tahoma"/>
            <family val="2"/>
          </rPr>
          <t xml:space="preserve">
Snoring - Surgical Intervention Policy</t>
        </r>
      </text>
    </comment>
    <comment ref="AM85" authorId="0" shapeId="0" xr:uid="{8255BE82-FC73-4DF3-B481-AFC64E1F95DC}">
      <text>
        <r>
          <rPr>
            <b/>
            <sz val="9"/>
            <color indexed="81"/>
            <rFont val="Tahoma"/>
            <family val="2"/>
          </rPr>
          <t>Jamie Smyth:</t>
        </r>
        <r>
          <rPr>
            <sz val="9"/>
            <color indexed="81"/>
            <rFont val="Tahoma"/>
            <family val="2"/>
          </rPr>
          <t xml:space="preserve">
Treatments for snoring Including, but not restricted to: Uvulopalatopharyngoplasty, Uvulopalatoplasty, Palate Implants and Radiofrequency Ablation of the Soft Palate - Page 24</t>
        </r>
      </text>
    </comment>
    <comment ref="AO85" authorId="0" shapeId="0" xr:uid="{8883613C-4293-44C8-AC4C-9552ECFAA4CC}">
      <text>
        <r>
          <rPr>
            <b/>
            <sz val="9"/>
            <color indexed="81"/>
            <rFont val="Tahoma"/>
            <family val="2"/>
          </rPr>
          <t>Jamie Smyth:</t>
        </r>
        <r>
          <rPr>
            <sz val="9"/>
            <color indexed="81"/>
            <rFont val="Tahoma"/>
            <family val="2"/>
          </rPr>
          <t xml:space="preserve">
https://www.surreyheartlands.org/tnrf2-other-procedures
"It is on the basis of limited clinical evidence of effectiveness, and the significant risks that patients could be exposed to, this procedure (snoring surgery, including soft-palate implants) should not be routinely commissioned in the management of simple snoring."</t>
        </r>
      </text>
    </comment>
    <comment ref="AP85" authorId="0" shapeId="0" xr:uid="{6DD3558F-7D62-452D-813A-7C1111D163B1}">
      <text>
        <r>
          <rPr>
            <b/>
            <sz val="9"/>
            <color indexed="81"/>
            <rFont val="Tahoma"/>
            <family val="2"/>
          </rPr>
          <t>Jamie Smyth:</t>
        </r>
        <r>
          <rPr>
            <sz val="9"/>
            <color indexed="81"/>
            <rFont val="Tahoma"/>
            <family val="2"/>
          </rPr>
          <t xml:space="preserve">
36. Snoring Surgery (in the absence of Obstructive Sleep Apnoea (OSA)) Page 59</t>
        </r>
      </text>
    </comment>
    <comment ref="X87" authorId="301" shapeId="0" xr:uid="{700F0500-2C9D-4057-92B8-CE813B7BAD7D}">
      <text>
        <t>[Threaded comment]
Your version of Excel allows you to read this threaded comment; however, any edits to it will get removed if the file is opened in a newer version of Excel. Learn more: https://go.microsoft.com/fwlink/?linkid=870924
Comment:
    ?insulin pumps? Then tick - https://www.healthierlsc.co.uk/application/files/3216/7576/5525/LSCICB_Clin35_Policy_for_Provision_of_Insulin_Pumps_for_Patients_with_Diabetes_Mellitus__v1.1.pdf</t>
      </text>
    </comment>
    <comment ref="AA87" authorId="302" shapeId="0" xr:uid="{E88F27B8-A8F2-41E9-897B-0FD2AC5B1F99}">
      <text>
        <t>[Threaded comment]
Your version of Excel allows you to read this threaded comment; however, any edits to it will get removed if the file is opened in a newer version of Excel. Learn more: https://go.microsoft.com/fwlink/?linkid=870924
Comment:
    Pump for diabetes? Tick if so https://www.midandsouthessex.ics.nhs.uk/publications/srp-066-insulin-pump-therapy-continuous-subcutaneous-insulin-infusion/</t>
      </text>
    </comment>
    <comment ref="F88" authorId="0" shapeId="0" xr:uid="{7DEA8B07-4AE8-49EB-9336-74F4AF5B11A5}">
      <text>
        <r>
          <rPr>
            <b/>
            <sz val="9"/>
            <color indexed="81"/>
            <rFont val="Tahoma"/>
            <family val="2"/>
          </rPr>
          <t>Jamie Smyth:</t>
        </r>
        <r>
          <rPr>
            <sz val="9"/>
            <color indexed="81"/>
            <rFont val="Tahoma"/>
            <family val="2"/>
          </rPr>
          <t xml:space="preserve">
Knee arthroscopy policies</t>
        </r>
      </text>
    </comment>
    <comment ref="H88" authorId="303" shapeId="0" xr:uid="{7DE2E608-AF8A-411F-9928-182321C605DF}">
      <text>
        <t>[Threaded comment]
Your version of Excel allows you to read this threaded comment; however, any edits to it will get removed if the file is opened in a newer version of Excel. Learn more: https://go.microsoft.com/fwlink/?linkid=870924
Comment:
    IFR https://www.bucksoxonberksw.icb.nhs.uk/media/4257/bobfpc76-arthroscopic-knee-surgery-for-meniscal-tears.pdf and https://www.bucksoxonberksw.icb.nhs.uk/media/4198/bobfpc6-arthroscopic-lavage-and-debridement.pdf</t>
      </text>
    </comment>
    <comment ref="J88" authorId="0" shapeId="0" xr:uid="{73CA0F4D-4C1B-4E15-9D23-987E4BCE5860}">
      <text>
        <r>
          <rPr>
            <b/>
            <sz val="9"/>
            <color indexed="81"/>
            <rFont val="Tahoma"/>
            <family val="2"/>
          </rPr>
          <t>Jamie Smyth:</t>
        </r>
        <r>
          <rPr>
            <sz val="9"/>
            <color indexed="81"/>
            <rFont val="Tahoma"/>
            <family val="2"/>
          </rPr>
          <t xml:space="preserve">
Knee Osteoarthritis, Arthroscopic Lavage and Debridement </t>
        </r>
      </text>
    </comment>
    <comment ref="N88" authorId="0" shapeId="0" xr:uid="{E9521263-4949-4DE1-AB9E-F2573A542D86}">
      <text>
        <r>
          <rPr>
            <b/>
            <sz val="9"/>
            <color indexed="81"/>
            <rFont val="Tahoma"/>
            <family val="2"/>
          </rPr>
          <t>Jamie Smyth:</t>
        </r>
        <r>
          <rPr>
            <sz val="9"/>
            <color indexed="81"/>
            <rFont val="Tahoma"/>
            <family val="2"/>
          </rPr>
          <t xml:space="preserve">
Arthroscopic surgery for
meniscal tears policy</t>
        </r>
      </text>
    </comment>
    <comment ref="T88" authorId="0" shapeId="0" xr:uid="{58435367-60EA-4037-8BA2-568D2251B352}">
      <text>
        <r>
          <rPr>
            <b/>
            <sz val="9"/>
            <color indexed="81"/>
            <rFont val="Tahoma"/>
            <family val="2"/>
          </rPr>
          <t>Jamie Smyth:</t>
        </r>
        <r>
          <rPr>
            <sz val="9"/>
            <color indexed="81"/>
            <rFont val="Tahoma"/>
            <family val="2"/>
          </rPr>
          <t xml:space="preserve">
Management of Musculo-Skeletal Conditions - Commissioning Policy v1.5 - IFR for debridement/washout/diagnostic purposes</t>
        </r>
      </text>
    </comment>
    <comment ref="Z88" authorId="0" shapeId="0" xr:uid="{7C1BB95C-972D-462A-A09D-78745CEFB078}">
      <text>
        <r>
          <rPr>
            <b/>
            <sz val="9"/>
            <color indexed="81"/>
            <rFont val="Tahoma"/>
            <family val="2"/>
          </rPr>
          <t>Jamie Smyth:</t>
        </r>
        <r>
          <rPr>
            <sz val="9"/>
            <color indexed="81"/>
            <rFont val="Tahoma"/>
            <family val="2"/>
          </rPr>
          <t xml:space="preserve">
Knee Arthroscopy - Page 96</t>
        </r>
      </text>
    </comment>
    <comment ref="AA88" authorId="0" shapeId="0" xr:uid="{15748429-5237-4E5B-8CBE-FD1AB4EDBF41}">
      <text>
        <r>
          <rPr>
            <b/>
            <sz val="9"/>
            <color indexed="81"/>
            <rFont val="Tahoma"/>
            <family val="2"/>
          </rPr>
          <t>Jamie Smyth:</t>
        </r>
        <r>
          <rPr>
            <sz val="9"/>
            <color indexed="81"/>
            <rFont val="Tahoma"/>
            <family val="2"/>
          </rPr>
          <t xml:space="preserve">
https://www.midandsouthessex.ics.nhs.uk/publications/srp-015-arthroscopy-knee/</t>
        </r>
      </text>
    </comment>
    <comment ref="AE88" authorId="0" shapeId="0" xr:uid="{EBC00408-D73E-4C2D-BDF3-F9A23A46E95C}">
      <text>
        <r>
          <rPr>
            <b/>
            <sz val="9"/>
            <color indexed="81"/>
            <rFont val="Tahoma"/>
            <family val="2"/>
          </rPr>
          <t>Jamie Smyth:</t>
        </r>
        <r>
          <rPr>
            <sz val="9"/>
            <color indexed="81"/>
            <rFont val="Tahoma"/>
            <family val="2"/>
          </rPr>
          <t xml:space="preserve">
Knee arthroscopy for patients with osteoarthritis  - Page 39</t>
        </r>
      </text>
    </comment>
    <comment ref="AK88" authorId="0" shapeId="0" xr:uid="{B5036802-FDBD-4980-BC2E-AA87C5AA6AA7}">
      <text>
        <r>
          <rPr>
            <b/>
            <sz val="9"/>
            <color indexed="81"/>
            <rFont val="Tahoma"/>
            <family val="2"/>
          </rPr>
          <t>Jamie Smyth:</t>
        </r>
        <r>
          <rPr>
            <sz val="9"/>
            <color indexed="81"/>
            <rFont val="Tahoma"/>
            <family val="2"/>
          </rPr>
          <t xml:space="preserve">
1.14 Knee arthroscopy for patients with osteoarthritis - Page 6</t>
        </r>
      </text>
    </comment>
    <comment ref="E89" authorId="304" shapeId="0" xr:uid="{321A8D45-0D58-4F18-B46B-C32027E78770}">
      <text>
        <t>[Threaded comment]
Your version of Excel allows you to read this threaded comment; however, any edits to it will get removed if the file is opened in a newer version of Excel. Learn more: https://go.microsoft.com/fwlink/?linkid=870924
Comment:
    https://www.birminghamsolihull.icb.nhs.uk/application/files/8516/4872/3920/Knee_MRI_for_suspected_meniscal_tears_policy.pdf for meniscal tears, policy for OA for knees link not valid - https://www.birminghamsolihull.icb.nhs.uk/health-information-and-advice/policies/diagnostics-and-imaging</t>
      </text>
    </comment>
    <comment ref="F89" authorId="0" shapeId="0" xr:uid="{D0022C6A-F1E1-4D97-99FE-EA92C2F75DB3}">
      <text>
        <r>
          <rPr>
            <b/>
            <sz val="9"/>
            <color indexed="81"/>
            <rFont val="Tahoma"/>
            <family val="2"/>
          </rPr>
          <t>Jamie Smyth:</t>
        </r>
        <r>
          <rPr>
            <sz val="9"/>
            <color indexed="81"/>
            <rFont val="Tahoma"/>
            <family val="2"/>
          </rPr>
          <t xml:space="preserve">
Knee replacement policy</t>
        </r>
      </text>
    </comment>
    <comment ref="I89" authorId="305" shapeId="0" xr:uid="{B1DC733A-1645-4EF4-8ED6-FD546B1097D0}">
      <text>
        <t>[Threaded comment]
Your version of Excel allows you to read this threaded comment; however, any edits to it will get removed if the file is opened in a newer version of Excel. Learn more: https://go.microsoft.com/fwlink/?linkid=870924
Comment:
    Knee arthroscopy policy mentions mri ref for knee https://www.cpics.org.uk/clinical-policies/</t>
      </text>
    </comment>
    <comment ref="K89" authorId="306" shapeId="0" xr:uid="{8F0B93CF-FDC2-4457-B685-83DB8763BDFC}">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L89" authorId="307" shapeId="0" xr:uid="{C8B18497-DB56-454C-9FEB-2629C75249E5}">
      <text>
        <t xml:space="preserve">[Threaded comment]
Your version of Excel allows you to read this threaded comment; however, any edits to it will get removed if the file is opened in a newer version of Excel. Learn more: https://go.microsoft.com/fwlink/?linkid=870924
Comment:
    Where symptoms have not settled after three months of non-operative treatment an MRI scan should be considered. https://www.happyhealthylives.uk/clientfiles/files/document_library/CWICB%20Policy%20for%20Arthroscopy%20of%20Knee%20Joint%20Policy%20FV.pdf ?tick </t>
      </text>
    </comment>
    <comment ref="T89" authorId="308" shapeId="0" xr:uid="{176855E0-0BE2-478C-AA6F-4D4EAF6A4281}">
      <text>
        <t>[Threaded comment]
Your version of Excel allows you to read this threaded comment; however, any edits to it will get removed if the file is opened in a newer version of Excel. Learn more: https://go.microsoft.com/fwlink/?linkid=870924
Comment:
    TICK “MRI is rarely indicated for the degenerative knee. A degenerative knee is poorly associated with symptoms and should be considered a feature indicative of early stage knee osteoarthritis and the patient treated accordingly. ii. Knee radiography should be used as a first line imaging tool to support a diagnosis of osteoarthritis or to detect certain rarer pathologies of the knee. Therefore, anteroposterior weight-bearing, lateral radiography is required. Skyline patella x-ray may be undertaken if there is suspicion of patellofemoral osteoarthritis. iii. Knee MRI may be indicated in selected patients with refractory symptoms or in the presence of ‘warning flags’ or localised symptoms indicating a rarer disease that needs to be rule ” https://www.hwics.org.uk/application/files/2117/0904/4510/ICB_MSK_Surgery_and_Therapy_V1.5_Final_6.pdf</t>
      </text>
    </comment>
    <comment ref="U89" authorId="309" shapeId="0" xr:uid="{216CA5D5-7840-4F0E-80F8-500E39D9D316}">
      <text>
        <t xml:space="preserve">[Threaded comment]
Your version of Excel allows you to read this threaded comment; however, any edits to it will get removed if the file is opened in a newer version of Excel. Learn more: https://go.microsoft.com/fwlink/?linkid=870924
Comment:
    https://www.hweclinicalguidance.nhs.uk/all-clinical-areas-documents/search-results/knee-pain/ tick </t>
      </text>
    </comment>
    <comment ref="F90" authorId="0" shapeId="0" xr:uid="{12BE402E-4946-4C54-9235-EF805648E5EB}">
      <text>
        <r>
          <rPr>
            <b/>
            <sz val="9"/>
            <color indexed="81"/>
            <rFont val="Tahoma"/>
            <family val="2"/>
          </rPr>
          <t>Jamie Smyth:</t>
        </r>
        <r>
          <rPr>
            <sz val="9"/>
            <color indexed="81"/>
            <rFont val="Tahoma"/>
            <family val="2"/>
          </rPr>
          <t xml:space="preserve">
Knee replacement policy</t>
        </r>
      </text>
    </comment>
    <comment ref="J90" authorId="0" shapeId="0" xr:uid="{24A5362E-4105-4298-A143-9114131526F4}">
      <text>
        <r>
          <rPr>
            <b/>
            <sz val="9"/>
            <color indexed="81"/>
            <rFont val="Tahoma"/>
            <family val="2"/>
          </rPr>
          <t>Jamie Smyth:</t>
        </r>
        <r>
          <rPr>
            <sz val="9"/>
            <color indexed="81"/>
            <rFont val="Tahoma"/>
            <family val="2"/>
          </rPr>
          <t xml:space="preserve">
Hip and  Knee Replacement Policy</t>
        </r>
      </text>
    </comment>
    <comment ref="K90" authorId="310" shapeId="0" xr:uid="{8765005F-AF75-4CF7-A337-981D3FA94DB7}">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V90" authorId="311" shapeId="0" xr:uid="{7E46D909-671B-4DCA-BCB6-6611EDC867DA}">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https://humberandnorthyorkshire.icb.nhs.uk/wp-content/uploads/2025/04/124-Hip-and-Knee-Replacement-Surgery.docx</t>
      </text>
    </comment>
    <comment ref="Z90" authorId="0" shapeId="0" xr:uid="{49437793-3CFF-4B53-9339-34174477781B}">
      <text>
        <r>
          <rPr>
            <b/>
            <sz val="9"/>
            <color indexed="81"/>
            <rFont val="Tahoma"/>
            <family val="2"/>
          </rPr>
          <t>Jamie Smyth:</t>
        </r>
        <r>
          <rPr>
            <sz val="9"/>
            <color indexed="81"/>
            <rFont val="Tahoma"/>
            <family val="2"/>
          </rPr>
          <t xml:space="preserve">
Knee Replacement  - Page 99</t>
        </r>
      </text>
    </comment>
    <comment ref="AA90" authorId="0" shapeId="0" xr:uid="{A6A8047F-573B-420F-84B2-921FBDDB2F37}">
      <text>
        <r>
          <rPr>
            <b/>
            <sz val="9"/>
            <color indexed="81"/>
            <rFont val="Tahoma"/>
            <family val="2"/>
          </rPr>
          <t>Jamie Smyth:</t>
        </r>
        <r>
          <rPr>
            <sz val="9"/>
            <color indexed="81"/>
            <rFont val="Tahoma"/>
            <family val="2"/>
          </rPr>
          <t xml:space="preserve">
https://www.midandsouthessex.ics.nhs.uk/publications/srp-068-knee-joint-replacement/</t>
        </r>
      </text>
    </comment>
    <comment ref="AK90" authorId="0" shapeId="0" xr:uid="{003F98B3-8F90-464C-A872-D173753CB298}">
      <text>
        <r>
          <rPr>
            <b/>
            <sz val="9"/>
            <color indexed="81"/>
            <rFont val="Tahoma"/>
            <family val="2"/>
          </rPr>
          <t>Jamie Smyth:</t>
        </r>
        <r>
          <rPr>
            <sz val="9"/>
            <color indexed="81"/>
            <rFont val="Tahoma"/>
            <family val="2"/>
          </rPr>
          <t xml:space="preserve">
2.23 Knee arthroplasty page 20</t>
        </r>
      </text>
    </comment>
    <comment ref="D92" authorId="0" shapeId="0" xr:uid="{C2906E5D-AF38-4499-A478-A57D37E48808}">
      <text>
        <r>
          <rPr>
            <b/>
            <sz val="9"/>
            <color indexed="81"/>
            <rFont val="Tahoma"/>
            <family val="2"/>
          </rPr>
          <t>Jamie Smyth:</t>
        </r>
        <r>
          <rPr>
            <sz val="9"/>
            <color indexed="81"/>
            <rFont val="Tahoma"/>
            <family val="2"/>
          </rPr>
          <t xml:space="preserve">
Laser eye surgery in myopia policy</t>
        </r>
      </text>
    </comment>
    <comment ref="N92" authorId="0" shapeId="0" xr:uid="{16253794-304C-40E7-8A62-9997A91B4D24}">
      <text>
        <r>
          <rPr>
            <b/>
            <sz val="9"/>
            <color indexed="81"/>
            <rFont val="Tahoma"/>
            <family val="2"/>
          </rPr>
          <t>Jamie Smyth:</t>
        </r>
        <r>
          <rPr>
            <sz val="9"/>
            <color indexed="81"/>
            <rFont val="Tahoma"/>
            <family val="2"/>
          </rPr>
          <t xml:space="preserve">
Comestic Policy - Appendix 1</t>
        </r>
      </text>
    </comment>
    <comment ref="P92" authorId="0" shapeId="0" xr:uid="{D82E2E51-D412-4197-80ED-D8B2FD99B1B5}">
      <text>
        <r>
          <rPr>
            <b/>
            <sz val="9"/>
            <color indexed="81"/>
            <rFont val="Tahoma"/>
            <family val="2"/>
          </rPr>
          <t>Jamie Smyth:</t>
        </r>
        <r>
          <rPr>
            <sz val="9"/>
            <color indexed="81"/>
            <rFont val="Tahoma"/>
            <family val="2"/>
          </rPr>
          <t xml:space="preserve">
Can't find mention of laser eye surgery policy
AO: https://fundingrequests.scwcsu.nhs.uk/wp-content/uploads/2024/12/BOBFPC16-Aesthetic-treatments-for-adults-and-children-v2.0.pdf IFR for laser eye </t>
        </r>
      </text>
    </comment>
    <comment ref="Q92" authorId="0" shapeId="0" xr:uid="{DDF1834B-D3C6-4058-9940-0B7118761B80}">
      <text>
        <r>
          <rPr>
            <b/>
            <sz val="9"/>
            <color indexed="81"/>
            <rFont val="Tahoma"/>
            <family val="2"/>
          </rPr>
          <t>Jamie Smyth:</t>
        </r>
        <r>
          <rPr>
            <sz val="9"/>
            <color indexed="81"/>
            <rFont val="Tahoma"/>
            <family val="2"/>
          </rPr>
          <t xml:space="preserve">
 Excimer laser eye surgery
   policy</t>
        </r>
      </text>
    </comment>
    <comment ref="X92" authorId="0" shapeId="0" xr:uid="{B3597923-375F-42F8-B3C5-9F57A263F93E}">
      <text>
        <r>
          <rPr>
            <b/>
            <sz val="9"/>
            <color indexed="81"/>
            <rFont val="Tahoma"/>
            <family val="2"/>
          </rPr>
          <t>Jamie Smyth:</t>
        </r>
        <r>
          <rPr>
            <sz val="9"/>
            <color indexed="81"/>
            <rFont val="Tahoma"/>
            <family val="2"/>
          </rPr>
          <t xml:space="preserve">
Policy for Photorefractive Surgery for the Correction of Refractive Error 
</t>
        </r>
      </text>
    </comment>
    <comment ref="Z92" authorId="0" shapeId="0" xr:uid="{A28C03D5-2047-466D-A117-C107E540F571}">
      <text>
        <r>
          <rPr>
            <b/>
            <sz val="9"/>
            <color indexed="81"/>
            <rFont val="Tahoma"/>
            <family val="2"/>
          </rPr>
          <t>Jamie Smyth:</t>
        </r>
        <r>
          <rPr>
            <sz val="9"/>
            <color indexed="81"/>
            <rFont val="Tahoma"/>
            <family val="2"/>
          </rPr>
          <t xml:space="preserve">
Laser Treatment of Myopia (Short Sightedness) Correction of short sightedness using lasers. - Page 118</t>
        </r>
      </text>
    </comment>
    <comment ref="AA92" authorId="0" shapeId="0" xr:uid="{05F94A62-BFD7-46F0-A414-17D85A048E6E}">
      <text>
        <r>
          <rPr>
            <b/>
            <sz val="9"/>
            <color indexed="81"/>
            <rFont val="Tahoma"/>
            <family val="2"/>
          </rPr>
          <t>Jamie Smyth:</t>
        </r>
        <r>
          <rPr>
            <sz val="9"/>
            <color indexed="81"/>
            <rFont val="Tahoma"/>
            <family val="2"/>
          </rPr>
          <t xml:space="preserve">
https://www.midandsouthessex.ics.nhs.uk/publications/srp-073-myopia-laser-eye-surgery/</t>
        </r>
      </text>
    </comment>
    <comment ref="AG92" authorId="312" shapeId="0" xr:uid="{1152F8D2-5DB1-437D-BC3E-27E1A8F04713}">
      <text>
        <t>[Threaded comment]
Your version of Excel allows you to read this threaded comment; however, any edits to it will get removed if the file is opened in a newer version of Excel. Learn more: https://go.microsoft.com/fwlink/?linkid=870924
Comment:
    IFR https://www.icnorthamptonshire.org.uk/download.cfm?doc=docm93jijm4n19772&amp;ver=65843</t>
      </text>
    </comment>
    <comment ref="AM92" authorId="0" shapeId="0" xr:uid="{F174E398-0686-4E5B-86A3-84DA2595E262}">
      <text>
        <r>
          <rPr>
            <b/>
            <sz val="9"/>
            <color indexed="81"/>
            <rFont val="Tahoma"/>
            <family val="2"/>
          </rPr>
          <t>Jamie Smyth:</t>
        </r>
        <r>
          <rPr>
            <sz val="9"/>
            <color indexed="81"/>
            <rFont val="Tahoma"/>
            <family val="2"/>
          </rPr>
          <t xml:space="preserve">
Laser Treatment for myopia (short sightedness). Page 49</t>
        </r>
      </text>
    </comment>
    <comment ref="AO92" authorId="0" shapeId="0" xr:uid="{7E4CF989-24F9-4C62-8593-970450D93B0D}">
      <text>
        <r>
          <rPr>
            <b/>
            <sz val="9"/>
            <color indexed="81"/>
            <rFont val="Tahoma"/>
            <family val="2"/>
          </rPr>
          <t>Jamie Smyth:</t>
        </r>
        <r>
          <rPr>
            <sz val="9"/>
            <color indexed="81"/>
            <rFont val="Tahoma"/>
            <family val="2"/>
          </rPr>
          <t xml:space="preserve">
https://www.surreyheartlands.org/tnrf1-ophthalmology
Excimer laser surgery for short sight/long sight or Astigmatism (laser surgery to treat myopia, astigmatism and long sightedness)</t>
        </r>
      </text>
    </comment>
    <comment ref="D93" authorId="0" shapeId="0" xr:uid="{364D493F-E0C3-4F07-A3EE-FFFC98F153AF}">
      <text>
        <r>
          <rPr>
            <b/>
            <sz val="9"/>
            <color indexed="81"/>
            <rFont val="Tahoma"/>
            <family val="2"/>
          </rPr>
          <t>Jamie Smyth:</t>
        </r>
        <r>
          <rPr>
            <sz val="9"/>
            <color indexed="81"/>
            <rFont val="Tahoma"/>
            <family val="2"/>
          </rPr>
          <t xml:space="preserve">
Lycra garments for children with neurological impairment  policy</t>
        </r>
      </text>
    </comment>
    <comment ref="Q93" authorId="0" shapeId="0" xr:uid="{018A816A-7D32-4AD6-BC2E-693CE8E9C4BB}">
      <text>
        <r>
          <rPr>
            <b/>
            <sz val="9"/>
            <color indexed="81"/>
            <rFont val="Tahoma"/>
            <family val="2"/>
          </rPr>
          <t>Jamie Smyth:</t>
        </r>
        <r>
          <rPr>
            <sz val="9"/>
            <color indexed="81"/>
            <rFont val="Tahoma"/>
            <family val="2"/>
          </rPr>
          <t xml:space="preserve">
Lycra splinting for paediatric patients with cerebral palsy/movement disorders   policy</t>
        </r>
      </text>
    </comment>
    <comment ref="U93" authorId="0" shapeId="0" xr:uid="{280BEAE4-CA77-4EB7-A674-398B2F627132}">
      <text>
        <r>
          <rPr>
            <b/>
            <sz val="9"/>
            <color indexed="81"/>
            <rFont val="Tahoma"/>
            <family val="2"/>
          </rPr>
          <t>Jamie Smyth:</t>
        </r>
        <r>
          <rPr>
            <sz val="9"/>
            <color indexed="81"/>
            <rFont val="Tahoma"/>
            <family val="2"/>
          </rPr>
          <t xml:space="preserve">
https://www.hweclinicalguidance.nhs.uk/clinical-policies/lycra-dynamic-splinting-for-children-with-neurological-impairment/ - AO: "https://www.hweclinicalguidance.nhs.uk/all-clinical-areas-documents/search-results/lycra-dynamic-splinting-for-children-with-neurological-impairment/" - ? "Requests for funding should only be considered on an individual patient basis by exceptional treatment panels." ?IFR</t>
        </r>
      </text>
    </comment>
    <comment ref="V93" authorId="0" shapeId="0" xr:uid="{5CD957D1-4491-4BE8-BB17-D9B48F98AB4D}">
      <text>
        <r>
          <rPr>
            <b/>
            <sz val="9"/>
            <color indexed="81"/>
            <rFont val="Tahoma"/>
            <family val="2"/>
          </rPr>
          <t>Jamie Smyth:</t>
        </r>
        <r>
          <rPr>
            <sz val="9"/>
            <color indexed="81"/>
            <rFont val="Tahoma"/>
            <family val="2"/>
          </rPr>
          <t xml:space="preserve">
041. Dynamic Splinting using Lycra Suits or Orthotics   policy</t>
        </r>
      </text>
    </comment>
    <comment ref="Z93" authorId="0" shapeId="0" xr:uid="{A76EADB7-C5D6-429F-AA19-8B336437DC9D}">
      <text>
        <r>
          <rPr>
            <b/>
            <sz val="9"/>
            <color indexed="81"/>
            <rFont val="Tahoma"/>
            <family val="2"/>
          </rPr>
          <t>Jamie Smyth:</t>
        </r>
        <r>
          <rPr>
            <sz val="9"/>
            <color indexed="81"/>
            <rFont val="Tahoma"/>
            <family val="2"/>
          </rPr>
          <t xml:space="preserve">
Lycra Dynamic Splinting for Children with Neurological Impairment </t>
        </r>
      </text>
    </comment>
    <comment ref="AA93" authorId="0" shapeId="0" xr:uid="{380CA1D3-A7BB-4835-A9EE-533E3A9DC9E3}">
      <text>
        <r>
          <rPr>
            <b/>
            <sz val="9"/>
            <color indexed="81"/>
            <rFont val="Tahoma"/>
            <family val="2"/>
          </rPr>
          <t>Jamie Smyth:</t>
        </r>
        <r>
          <rPr>
            <sz val="9"/>
            <color indexed="81"/>
            <rFont val="Tahoma"/>
            <family val="2"/>
          </rPr>
          <t xml:space="preserve">
https://www.midandsouthessex.ics.nhs.uk/publications/041-dynamic-lycra-splinting/
AO; reads as not funded? https://www.midandsouthessex.ics.nhs.uk/publications/041-dynamic-lycra-splinting/</t>
        </r>
      </text>
    </comment>
    <comment ref="AM93" authorId="0" shapeId="0" xr:uid="{88D20122-34C4-4B25-9DBF-118C1AE55EC3}">
      <text>
        <r>
          <rPr>
            <b/>
            <sz val="9"/>
            <color indexed="81"/>
            <rFont val="Tahoma"/>
            <family val="2"/>
          </rPr>
          <t>Jamie Smyth:</t>
        </r>
        <r>
          <rPr>
            <sz val="9"/>
            <color indexed="81"/>
            <rFont val="Tahoma"/>
            <family val="2"/>
          </rPr>
          <t xml:space="preserve">
Lycra splinting for the prevention and correction of upper limb contractures for patients with neurological dysfunction. Page 59</t>
        </r>
      </text>
    </comment>
    <comment ref="I96" authorId="313" shapeId="0" xr:uid="{FC003B2A-8888-4945-8443-52D9721FCBB5}">
      <text>
        <t>[Threaded comment]
Your version of Excel allows you to read this threaded comment; however, any edits to it will get removed if the file is opened in a newer version of Excel. Learn more: https://go.microsoft.com/fwlink/?linkid=870924
Comment:
    Prior approval, and if not meet criteria then IFR https://www.cpics.org.uk/download.cfm?doc=docm93jijm4n1144.pdf&amp;ver=2072</t>
      </text>
    </comment>
    <comment ref="I97" authorId="314" shapeId="0" xr:uid="{041D5036-B727-4259-BE6B-D9E1E7B23151}">
      <text>
        <t>[Threaded comment]
Your version of Excel allows you to read this threaded comment; however, any edits to it will get removed if the file is opened in a newer version of Excel. Learn more: https://go.microsoft.com/fwlink/?linkid=870924
Comment:
    https://www.cpics.org.uk/download.cfm?doc=docm93jijm4n1150.pdf&amp;ver=2090 - can be part of patients usual mx</t>
      </text>
    </comment>
    <comment ref="T97" authorId="315" shapeId="0" xr:uid="{78163C43-04D9-422B-8CC4-9122D45DBD33}">
      <text>
        <t xml:space="preserve">[Threaded comment]
Your version of Excel allows you to read this threaded comment; however, any edits to it will get removed if the file is opened in a newer version of Excel. Learn more: https://go.microsoft.com/fwlink/?linkid=870924
Comment:
    IFR https://www.hwics.org.uk/application/files/3017/4947/6443/ICB_Policy_-_Surgery_for_Chronic_Lymphoedema_V1.0.pdf </t>
      </text>
    </comment>
    <comment ref="W97" authorId="0" shapeId="0" xr:uid="{73BE94DD-844B-4630-B68A-D77435E1E3C5}">
      <text>
        <r>
          <rPr>
            <b/>
            <sz val="9"/>
            <color indexed="81"/>
            <rFont val="Tahoma"/>
            <family val="2"/>
          </rPr>
          <t>Jamie Smyth:</t>
        </r>
        <r>
          <rPr>
            <sz val="9"/>
            <color indexed="81"/>
            <rFont val="Tahoma"/>
            <family val="2"/>
          </rPr>
          <t xml:space="preserve">
Can't find mention of Specific policies</t>
        </r>
      </text>
    </comment>
    <comment ref="AA97" authorId="316" shapeId="0" xr:uid="{10F23D5D-08DA-414A-9500-0F6149B5CA41}">
      <text>
        <t>[Threaded comment]
Your version of Excel allows you to read this threaded comment; however, any edits to it will get removed if the file is opened in a newer version of Excel. Learn more: https://go.microsoft.com/fwlink/?linkid=870924
Comment:
    Doesn’t mention manual drain https://www.midandsouthessex.ics.nhs.uk/publications/srp-070-lymphoedema-services/ so NA, but just checking</t>
      </text>
    </comment>
    <comment ref="AG97" authorId="0" shapeId="0" xr:uid="{410DF102-75A4-4D84-B76B-F4B7AA71261F}">
      <text>
        <r>
          <rPr>
            <b/>
            <sz val="9"/>
            <color indexed="81"/>
            <rFont val="Tahoma"/>
            <family val="2"/>
          </rPr>
          <t>Jamie Smyth:</t>
        </r>
        <r>
          <rPr>
            <sz val="9"/>
            <color indexed="81"/>
            <rFont val="Tahoma"/>
            <family val="2"/>
          </rPr>
          <t xml:space="preserve">
https://www.icnorthamptonshire.org.uk/documents?media_item=21598&amp;media_type=10#file-viewer
AO: cannot find ref to manual </t>
        </r>
      </text>
    </comment>
    <comment ref="AP97" authorId="317" shapeId="0" xr:uid="{2E9CA047-5F88-43DB-8CD1-F6F7D28314BE}">
      <text>
        <t>[Threaded comment]
Your version of Excel allows you to read this threaded comment; however, any edits to it will get removed if the file is opened in a newer version of Excel. Learn more: https://go.microsoft.com/fwlink/?linkid=870924
Comment:
    IFR - “Manual lymphatic drainage unless part of an established care package ” https://int.sussex.ics.nhs.uk/clinical_documents/sussex-cec-clinical-policy/</t>
      </text>
    </comment>
    <comment ref="D98" authorId="318" shapeId="0" xr:uid="{6D9DC10C-EA36-434E-BEB9-4B956AF714C5}">
      <text>
        <t>[Threaded comment]
Your version of Excel allows you to read this threaded comment; however, any edits to it will get removed if the file is opened in a newer version of Excel. Learn more: https://go.microsoft.com/fwlink/?linkid=870924
Comment:
    Mentioned but normally funded “Intraocular lenses for cataract surgery (IOL) Monofocal IOLs are the current standard IOL design used for cataract surgery in the NHS. Toric Intraocular Lenses for astigmatism correction in patients undergoing cataract surgery is not normally funded by ICBs. This is due to a lack of quality evidence regarding the long term clinical effectiveness of this procedure. NHSE commissions other services for astigmatism and refractive errors that are effective, safe and costeffective, such as wearing glasses or contact lenses.  ”https://bedfordshirelutonandmiltonkeynes.icb.nhs.uk/~documents/policies/evidence-based-clinical-policies/cataract-surgery</t>
      </text>
    </comment>
    <comment ref="J98" authorId="319" shapeId="0" xr:uid="{CB0968B6-4955-4577-B420-7B70C678270E}">
      <text>
        <t>[Threaded comment]
Your version of Excel allows you to read this threaded comment; however, any edits to it will get removed if the file is opened in a newer version of Excel. Learn more: https://go.microsoft.com/fwlink/?linkid=870924
Comment:
    IFR https://www.cheshireandmerseyside.nhs.uk/media/lhapbd4h/pol-clin097-cataracts-v1-final.pdf</t>
      </text>
    </comment>
    <comment ref="O98" authorId="320" shapeId="0" xr:uid="{3EE7E96E-97EA-42EA-AB66-7A5D1729B978}">
      <text>
        <t>[Threaded comment]
Your version of Excel allows you to read this threaded comment; however, any edits to it will get removed if the file is opened in a newer version of Excel. Learn more: https://go.microsoft.com/fwlink/?linkid=870924
Comment:
    IFR https://nhsdorset.nhs.uk/wp-content/uploads/2024/11/Cataract-EBI-May-2024.pdf</t>
      </text>
    </comment>
    <comment ref="Q98" authorId="321" shapeId="0" xr:uid="{F80DC6BD-8F3C-4132-907C-C1A76D462D63}">
      <text>
        <t>[Threaded comment]
Your version of Excel allows you to read this threaded comment; however, any edits to it will get removed if the file is opened in a newer version of Excel. Learn more: https://go.microsoft.com/fwlink/?linkid=870924
Comment:
    multi-focal lenses are not funded https://www.nhsglos.nhs.uk/wp-content/uploads/2023/07/Cataract.pdf IFR</t>
      </text>
    </comment>
    <comment ref="U98" authorId="322" shapeId="0" xr:uid="{DD309C21-FF04-4E69-960E-3B14ADF78AB1}">
      <text>
        <t xml:space="preserve">[Threaded comment]
Your version of Excel allows you to read this threaded comment; however, any edits to it will get removed if the file is opened in a newer version of Excel. Learn more: https://go.microsoft.com/fwlink/?linkid=870924
Comment:
    https://www.hweclinicalguidance.nhs.uk/all-clinical-areas-documents/search-results/cataract-surgery/ IFR Multifocal intraocular lenses for people having cataract surgery will not be routinely funded.
Toric intraocular lenses for astigmatism correction in patients undergoing cataract surgery will not be routinely funded. 
Other effective, safe, and cost-effective interventions are available for astigmatism and refractive errors, such as spectacle correction and contact lenses.
</t>
      </text>
    </comment>
    <comment ref="Y98" authorId="323" shapeId="0" xr:uid="{ADAE003A-3F96-45C4-8B8F-4E343A318968}">
      <text>
        <t>[Threaded comment]
Your version of Excel allows you to read this threaded comment; however, any edits to it will get removed if the file is opened in a newer version of Excel. Learn more: https://go.microsoft.com/fwlink/?linkid=870924
Comment:
    Tick criteria based “
Intraocular Lens Implant ” https://leicesterleicestershireandrutland.icb.nhs.uk/policy-for-leicester-leicestershire-and-rutland-approved-referral-pathways/</t>
      </text>
    </comment>
    <comment ref="AQ98" authorId="324" shapeId="0" xr:uid="{C33D64D4-9BF8-4B7A-9054-AEBDD5A6476B}">
      <text>
        <t>[Threaded comment]
Your version of Excel allows you to read this threaded comment; however, any edits to it will get removed if the file is opened in a newer version of Excel. Learn more: https://go.microsoft.com/fwlink/?linkid=870924
Comment:
    IFR https://www.wypartnership.co.uk/application/files/2615/8106/5842/WYH_cataracts_policy_V1_01.20.pdf “Multifocal intraocular lens Multifocal intraocular lenses are designed to provide good near and distance vision and to minimise the need for reading glasses. They can be associated with adverse symptoms, have a significant cost premium and are not recommended by NICE. The West Yorkshire and Harrogate ICS does NOT routinely commission the insertion of multifocal intraocular lenses ”</t>
      </text>
    </comment>
    <comment ref="C99" authorId="325" shapeId="0" xr:uid="{D5DF8668-1DDA-44B7-8D15-1D48D835B905}">
      <text>
        <t>[Threaded comment]
Your version of Excel allows you to read this threaded comment; however, any edits to it will get removed if the file is opened in a newer version of Excel. Learn more: https://go.microsoft.com/fwlink/?linkid=870924
Comment:
    Nasal surgery (rhinoplasty, septorhinoplasty) solely to correct deformity and the cosmetic appearance of the nose are not normally funded. In the following cases Exceptional Funding Request approval must be applied for before surger 
Reply:
    https://bsw.icb.nhs.uk/wp-content/uploads/sites/6/2022/09/BSW-ICB-CP033-Nasal-Surgery-Septoplasty-Septorhinoplasty-Rhinoplasty.pdf</t>
      </text>
    </comment>
    <comment ref="F99" authorId="0" shapeId="0" xr:uid="{093EB57D-9F4D-4818-8BB7-78CDA3F6350B}">
      <text>
        <r>
          <rPr>
            <b/>
            <sz val="9"/>
            <color indexed="81"/>
            <rFont val="Tahoma"/>
            <family val="2"/>
          </rPr>
          <t>Jamie Smyth:</t>
        </r>
        <r>
          <rPr>
            <sz val="9"/>
            <color indexed="81"/>
            <rFont val="Tahoma"/>
            <family val="2"/>
          </rPr>
          <t xml:space="preserve">
Bariatric surgery policy</t>
        </r>
      </text>
    </comment>
    <comment ref="G99" authorId="326" shapeId="0" xr:uid="{3D777574-6DD4-4F54-9066-7E29C5B633C0}">
      <text>
        <t>[Threaded comment]
Your version of Excel allows you to read this threaded comment; however, any edits to it will get removed if the file is opened in a newer version of Excel. Learn more: https://go.microsoft.com/fwlink/?linkid=870924
Comment:
    Unable to find https://bnssghealthiertogether.org.uk/library</t>
      </text>
    </comment>
    <comment ref="H99" authorId="327" shapeId="0" xr:uid="{FE464721-8AAF-406B-9E1E-888937CABEB2}">
      <text>
        <t>[Threaded comment]
Your version of Excel allows you to read this threaded comment; however, any edits to it will get removed if the file is opened in a newer version of Excel. Learn more: https://go.microsoft.com/fwlink/?linkid=870924
Comment:
    Should be IFR https://www.bucksoxonberksw.icb.nhs.uk/media/4374/bobfpc16-aesthetic-treatments-for-adults-and-children.pdf</t>
      </text>
    </comment>
    <comment ref="J99" authorId="328" shapeId="0" xr:uid="{66FC30CF-9481-4AAE-94B4-DF9626E83FD8}">
      <text>
        <t>[Threaded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https://www.cheshireandmerseyside.nhs.uk/media/tg1czjqx/pol-clin102-reshaping-the-nose-rhinoplasty-septoplasty-final-v04.pdf</t>
      </text>
    </comment>
    <comment ref="K99" authorId="0" shapeId="0" xr:uid="{802ED6D2-70A7-48E2-BA14-4B178FEAD3BD}">
      <text>
        <r>
          <rPr>
            <b/>
            <sz val="9"/>
            <color indexed="81"/>
            <rFont val="Tahoma"/>
            <family val="2"/>
          </rPr>
          <t>Jamie Smyth:</t>
        </r>
        <r>
          <rPr>
            <sz val="9"/>
            <color indexed="81"/>
            <rFont val="Tahoma"/>
            <family val="2"/>
          </rPr>
          <t xml:space="preserve">
Not routinely commissioned - septoplasty, septo-rhinoplasty, rhinoplasty</t>
        </r>
      </text>
    </comment>
    <comment ref="M99" authorId="0" shapeId="0" xr:uid="{13A3E696-9223-4C3D-AF2E-6F16CF6FD1B2}">
      <text>
        <r>
          <rPr>
            <b/>
            <sz val="9"/>
            <color indexed="81"/>
            <rFont val="Tahoma"/>
            <family val="2"/>
          </rPr>
          <t>Jamie Smyth:</t>
        </r>
        <r>
          <rPr>
            <sz val="9"/>
            <color indexed="81"/>
            <rFont val="Tahoma"/>
            <family val="2"/>
          </rPr>
          <t xml:space="preserve">
Rhinoplasty and Septo-rhinoplasty policy.</t>
        </r>
      </text>
    </comment>
    <comment ref="P99" authorId="0" shapeId="0" xr:uid="{BF7030E0-05C7-4B37-A4C1-A4B73D618E76}">
      <text>
        <r>
          <rPr>
            <b/>
            <sz val="9"/>
            <color indexed="81"/>
            <rFont val="Tahoma"/>
            <family val="2"/>
          </rPr>
          <t>Jamie Smyth:</t>
        </r>
        <r>
          <rPr>
            <sz val="9"/>
            <color indexed="81"/>
            <rFont val="Tahoma"/>
            <family val="2"/>
          </rPr>
          <t xml:space="preserve">
Cosmetic Surgery policy</t>
        </r>
      </text>
    </comment>
    <comment ref="Q99" authorId="329" shapeId="0" xr:uid="{077857B3-FC24-4D2D-BB8F-FEFB81919984}">
      <text>
        <t>[Threaded comment]
Your version of Excel allows you to read this threaded comment; however, any edits to it will get removed if the file is opened in a newer version of Excel. Learn more: https://go.microsoft.com/fwlink/?linkid=870924
Comment:
    IFR https://www.nhsglos.nhs.uk/wp-content/uploads/2023/07/Facial-Procedures.pdf</t>
      </text>
    </comment>
    <comment ref="AA99" authorId="0" shapeId="0" xr:uid="{6FD5981A-E7CC-4A72-BEE4-DB673FF87A21}">
      <text>
        <r>
          <rPr>
            <b/>
            <sz val="9"/>
            <color indexed="81"/>
            <rFont val="Tahoma"/>
            <family val="2"/>
          </rPr>
          <t>Jamie Smyth:</t>
        </r>
        <r>
          <rPr>
            <sz val="9"/>
            <color indexed="81"/>
            <rFont val="Tahoma"/>
            <family val="2"/>
          </rPr>
          <t xml:space="preserve">
https://www.midandsouthessex.ics.nhs.uk/publications/srp-089-septoplasty/</t>
        </r>
      </text>
    </comment>
    <comment ref="AG99" authorId="0" shapeId="0" xr:uid="{734FB4FF-5F5E-4E38-950A-103BC5A7E728}">
      <text>
        <r>
          <rPr>
            <b/>
            <sz val="9"/>
            <color indexed="81"/>
            <rFont val="Tahoma"/>
            <family val="2"/>
          </rPr>
          <t>Jamie Smyth:</t>
        </r>
        <r>
          <rPr>
            <sz val="9"/>
            <color indexed="81"/>
            <rFont val="Tahoma"/>
            <family val="2"/>
          </rPr>
          <t xml:space="preserve">
https://www.icnorthamptonshire.org.uk/documents?media_item=19785&amp;media_type=10#file-viewer</t>
        </r>
      </text>
    </comment>
    <comment ref="AH99" authorId="330" shapeId="0" xr:uid="{8F21D9D3-C84B-4E59-934F-9A67628BA51A}">
      <text>
        <t>[Threaded comment]
Your version of Excel allows you to read this threaded comment; however, any edits to it will get removed if the file is opened in a newer version of Excel. Learn more: https://go.microsoft.com/fwlink/?linkid=870924
Comment:
    Rhinoplasty is IFR however, septorhino is tick</t>
      </text>
    </comment>
    <comment ref="AL99" authorId="331" shapeId="0" xr:uid="{03BC85B2-7D59-4393-AE3C-1B114154A168}">
      <text>
        <t>[Threaded comment]
Your version of Excel allows you to read this threaded comment; however, any edits to it will get removed if the file is opened in a newer version of Excel. Learn more: https://go.microsoft.com/fwlink/?linkid=870924
Comment:
    IFR - Rhinoplasty will not be routinely commissioned by the NHS for cosmetic reasons. Cases may be considered on an exceptional basis, for example in the presence of severe functional problems. Post traumatic airway obstruction or septal deviation does not need funding approval. https://syics.co.uk/application/files/5916/8017/2095/FINAL_EBI_CFO_v.24_Final_27_March_2023.pdf</t>
      </text>
    </comment>
    <comment ref="AQ99" authorId="332" shapeId="0" xr:uid="{22D88134-4B94-434D-B31F-6B45AA67E5DE}">
      <text>
        <t>[Threaded comment]
Your version of Excel allows you to read this threaded comment; however, any edits to it will get removed if the file is opened in a newer version of Excel. Learn more: https://go.microsoft.com/fwlink/?linkid=870924
Comment:
    Reads as IFR? https://www.wypartnership.co.uk/application/files/4116/8907/1292/Nose_surgery_05.2022.pdf criteria is only for IFR</t>
      </text>
    </comment>
    <comment ref="AQ101" authorId="333" shapeId="0" xr:uid="{EFBD647E-B4C5-4E06-9D02-B03654B9398E}">
      <text>
        <t>[Threaded comment]
Your version of Excel allows you to read this threaded comment; however, any edits to it will get removed if the file is opened in a newer version of Excel. Learn more: https://go.microsoft.com/fwlink/?linkid=870924
Comment:
    Tick https://www.wypartnership.co.uk/application/files/5817/3140/3569/Spinal_Pain_Policy_112024.pdf “Non-rigid stabilisation techniques for the treatment of low back pain (IPG366) ”</t>
      </text>
    </comment>
    <comment ref="C102" authorId="334" shapeId="0" xr:uid="{FEA74F1C-14DB-4C17-9B42-2F917EE68A36}">
      <text>
        <t>[Threaded comment]
Your version of Excel allows you to read this threaded comment; however, any edits to it will get removed if the file is opened in a newer version of Excel. Learn more: https://go.microsoft.com/fwlink/?linkid=870924
Comment:
    Unable to find on website</t>
      </text>
    </comment>
    <comment ref="F102" authorId="0" shapeId="0" xr:uid="{5032F626-3422-45F9-8E6E-B7C777DC8E31}">
      <text>
        <r>
          <rPr>
            <b/>
            <sz val="9"/>
            <color indexed="81"/>
            <rFont val="Tahoma"/>
            <family val="2"/>
          </rPr>
          <t>Jamie Smyth:</t>
        </r>
        <r>
          <rPr>
            <sz val="9"/>
            <color indexed="81"/>
            <rFont val="Tahoma"/>
            <family val="2"/>
          </rPr>
          <t xml:space="preserve">
Bariatric surgery policy - AO: unable to find
Policy no longer online</t>
        </r>
      </text>
    </comment>
    <comment ref="Q102" authorId="335" shapeId="0" xr:uid="{E6189C1F-0A68-4531-8F21-605730AE4352}">
      <text>
        <t>[Threaded comment]
Your version of Excel allows you to read this threaded comment; however, any edits to it will get removed if the file is opened in a newer version of Excel. Learn more: https://go.microsoft.com/fwlink/?linkid=870924
Comment:
    Unable to find</t>
      </text>
    </comment>
    <comment ref="U102" authorId="336" shapeId="0" xr:uid="{82CF2152-B091-46AC-B474-C8BB2BAA5A09}">
      <text>
        <t>[Threaded comment]
Your version of Excel allows you to read this threaded comment; however, any edits to it will get removed if the file is opened in a newer version of Excel. Learn more: https://go.microsoft.com/fwlink/?linkid=870924
Comment:
    EBI https://www.hweclinicalguidance.nhs.uk/all-clinical-areas-documents/search-results/bariatric-surgery/</t>
      </text>
    </comment>
    <comment ref="AA102" authorId="0" shapeId="0" xr:uid="{2643FA52-6588-47FD-A328-2B5DE7EA8EBC}">
      <text>
        <r>
          <rPr>
            <b/>
            <sz val="9"/>
            <color indexed="81"/>
            <rFont val="Tahoma"/>
            <family val="2"/>
          </rPr>
          <t>Jamie Smyth:</t>
        </r>
        <r>
          <rPr>
            <sz val="9"/>
            <color indexed="81"/>
            <rFont val="Tahoma"/>
            <family val="2"/>
          </rPr>
          <t xml:space="preserve">
https://www.midandsouthessex.ics.nhs.uk/publications/075-specialist-obesity-services/</t>
        </r>
      </text>
    </comment>
    <comment ref="AC102" authorId="337" shapeId="0" xr:uid="{3984B084-16C9-437E-99E3-E7C7F38ECBE5}">
      <text>
        <t>[Threaded comment]
Your version of Excel allows you to read this threaded comment; however, any edits to it will get removed if the file is opened in a newer version of Excel. Learn more: https://go.microsoft.com/fwlink/?linkid=870924
Comment:
    Unable to find ref https://nclhealthandcare.org.uk/wp-content/uploads/2024/02/NCL-EBICS-Policy-v9.2-2.pdf</t>
      </text>
    </comment>
    <comment ref="AK102" authorId="338" shapeId="0" xr:uid="{BD36CA3E-5A64-45B2-98BF-0D023F4B8497}">
      <text>
        <t>[Threaded comment]
Your version of Excel allows you to read this threaded comment; however, any edits to it will get removed if the file is opened in a newer version of Excel. Learn more: https://go.microsoft.com/fwlink/?linkid=870924
Comment:
    IFR - Bariatric “If a particular procedure/approach is not listed within local policies then it is not commissioned and not available. ” - policy document changes https://www.selondonics.org/wp-content/uploads/dlm_uploads/SEL-Treatment-Access-Policy-July-2024-v1.pdf</t>
      </text>
    </comment>
    <comment ref="G103" authorId="0" shapeId="0" xr:uid="{5E8E1B1D-7840-471B-B5F7-B5FAC946AFCA}">
      <text>
        <r>
          <rPr>
            <b/>
            <sz val="9"/>
            <color indexed="81"/>
            <rFont val="Tahoma"/>
            <family val="2"/>
          </rPr>
          <t>Jamie Smyth:</t>
        </r>
        <r>
          <rPr>
            <sz val="9"/>
            <color indexed="81"/>
            <rFont val="Tahoma"/>
            <family val="2"/>
          </rPr>
          <t xml:space="preserve">
Open MRI Scanner policy</t>
        </r>
      </text>
    </comment>
    <comment ref="I103" authorId="339" shapeId="0" xr:uid="{D99759F1-AF45-439D-833C-28AF3290EE4A}">
      <text>
        <t>[Threaded comment]
Your version of Excel allows you to read this threaded comment; however, any edits to it will get removed if the file is opened in a newer version of Excel. Learn more: https://go.microsoft.com/fwlink/?linkid=870924
Comment:
    IFR https://www.cpics.org.uk/download.cfm?doc=docm93jijm4n1176.pdf&amp;ver=2159</t>
      </text>
    </comment>
    <comment ref="K103" authorId="0" shapeId="0" xr:uid="{8239EA9D-610E-4CA1-B649-D7E34DCF4769}">
      <text>
        <r>
          <rPr>
            <b/>
            <sz val="9"/>
            <color indexed="81"/>
            <rFont val="Tahoma"/>
            <family val="2"/>
          </rPr>
          <t>Jamie Smyth:</t>
        </r>
        <r>
          <rPr>
            <sz val="9"/>
            <color indexed="81"/>
            <rFont val="Tahoma"/>
            <family val="2"/>
          </rPr>
          <t xml:space="preserve">
</t>
        </r>
      </text>
    </comment>
    <comment ref="T103" authorId="340" shapeId="0" xr:uid="{0D758A2C-9D45-43EC-A74C-9AE9CEF49C4F}">
      <text>
        <t>[Threaded comment]
Your version of Excel allows you to read this threaded comment; however, any edits to it will get removed if the file is opened in a newer version of Excel. Learn more: https://go.microsoft.com/fwlink/?linkid=870924
Comment:
    https://www.hwics.org.uk/download_file/4074/554 tick</t>
      </text>
    </comment>
    <comment ref="Z103" authorId="0" shapeId="0" xr:uid="{8E142E8B-C04C-46AC-B520-B98AD50E489F}">
      <text>
        <r>
          <rPr>
            <b/>
            <sz val="9"/>
            <color indexed="81"/>
            <rFont val="Tahoma"/>
            <family val="2"/>
          </rPr>
          <t>Jamie Smyth:</t>
        </r>
        <r>
          <rPr>
            <sz val="9"/>
            <color indexed="81"/>
            <rFont val="Tahoma"/>
            <family val="2"/>
          </rPr>
          <t xml:space="preserve">
Can't find mention of Specific policies</t>
        </r>
      </text>
    </comment>
    <comment ref="AA103" authorId="0" shapeId="0" xr:uid="{90392908-C16B-4F7D-8CE2-710107EE51B6}">
      <text>
        <r>
          <rPr>
            <b/>
            <sz val="9"/>
            <color indexed="81"/>
            <rFont val="Tahoma"/>
            <family val="2"/>
          </rPr>
          <t>Jamie Smyth:</t>
        </r>
        <r>
          <rPr>
            <sz val="9"/>
            <color indexed="81"/>
            <rFont val="Tahoma"/>
            <family val="2"/>
          </rPr>
          <t xml:space="preserve">
https://www.midandsouthessex.ics.nhs.uk/publications/srp-076-open-wide-bore-mri/</t>
        </r>
      </text>
    </comment>
    <comment ref="AM103" authorId="0" shapeId="0" xr:uid="{1FDD053F-740C-4847-A851-10AB16D8A0E4}">
      <text>
        <r>
          <rPr>
            <b/>
            <sz val="9"/>
            <color indexed="81"/>
            <rFont val="Tahoma"/>
            <family val="2"/>
          </rPr>
          <t>Jamie Smyth:</t>
        </r>
        <r>
          <rPr>
            <sz val="9"/>
            <color indexed="81"/>
            <rFont val="Tahoma"/>
            <family val="2"/>
          </rPr>
          <t xml:space="preserve">
Open and Upright MRI and MRI under General Anaesthetic (GA) in Adults   - Page 24</t>
        </r>
      </text>
    </comment>
    <comment ref="U104" authorId="341" shapeId="0" xr:uid="{5177931A-D634-4E50-86DF-A71AF6B53203}">
      <text>
        <t>[Threaded comment]
Your version of Excel allows you to read this threaded comment; however, any edits to it will get removed if the file is opened in a newer version of Excel. Learn more: https://go.microsoft.com/fwlink/?linkid=870924
Comment:
    Tick mentioned a lot in this policy as therapy option https://www.hweclinicalguidance.nhs.uk/all-clinical-areas-documents/search-results/functional-electrical-stimulation/</t>
      </text>
    </comment>
    <comment ref="AA104" authorId="0" shapeId="0" xr:uid="{DE8AF8D3-E461-4396-BEF8-6B06C2D036D0}">
      <text>
        <r>
          <rPr>
            <b/>
            <sz val="9"/>
            <color indexed="81"/>
            <rFont val="Tahoma"/>
            <family val="2"/>
          </rPr>
          <t>Jamie Smyth:</t>
        </r>
        <r>
          <rPr>
            <sz val="9"/>
            <color indexed="81"/>
            <rFont val="Tahoma"/>
            <family val="2"/>
          </rPr>
          <t xml:space="preserve">
https://www.midandsouthessex.ics.nhs.uk/publications/srp-077-orthoses-orthotics/</t>
        </r>
      </text>
    </comment>
    <comment ref="U106" authorId="342" shapeId="0" xr:uid="{0141B8B8-F85B-4235-B1B0-06A1FFFD7C20}">
      <text>
        <t xml:space="preserve">[Threaded comment]
Your version of Excel allows you to read this threaded comment; however, any edits to it will get removed if the file is opened in a newer version of Excel. Learn more: https://go.microsoft.com/fwlink/?linkid=870924
Comment:
    ? Tick https://www.hweclinicalguidance.nhs.uk/all-clinical-areas-documents/search-results/tadalafil-pr/ </t>
      </text>
    </comment>
    <comment ref="AC106" authorId="343" shapeId="0" xr:uid="{5014994E-EE20-4C3F-AFFE-66A69F498C84}">
      <text>
        <t>[Threaded comment]
Your version of Excel allows you to read this threaded comment; however, any edits to it will get removed if the file is opened in a newer version of Excel. Learn more: https://go.microsoft.com/fwlink/?linkid=870924
Comment:
    Unable to find ref</t>
      </text>
    </comment>
    <comment ref="W108" authorId="344" shapeId="0" xr:uid="{FFDF69CF-0620-41B5-A7B6-BBB9EC2D1121}">
      <text>
        <t>[Threaded comment]
Your version of Excel allows you to read this threaded comment; however, any edits to it will get removed if the file is opened in a newer version of Excel. Learn more: https://go.microsoft.com/fwlink/?linkid=870924
Comment:
    https://www.kentandmedway.icb.nhs.uk/application/files/9817/1292/6708/KM_RaTC_April_2024.pdf Verteporfin with photodynamic therapy (PDT) for the treatment of central serous chorioretinopathy (CSCR)  - tick</t>
      </text>
    </comment>
    <comment ref="Q109" authorId="345" shapeId="0" xr:uid="{D5D744AA-149A-4FC6-A276-89D408F520AD}">
      <text>
        <t>[Threaded comment]
Your version of Excel allows you to read this threaded comment; however, any edits to it will get removed if the file is opened in a newer version of Excel. Learn more: https://go.microsoft.com/fwlink/?linkid=870924
Comment:
    Unable to find</t>
      </text>
    </comment>
    <comment ref="G110" authorId="346" shapeId="0" xr:uid="{073870A9-870A-461A-AEB0-7AD59EC069A7}">
      <text>
        <t>[Threaded comment]
Your version of Excel allows you to read this threaded comment; however, any edits to it will get removed if the file is opened in a newer version of Excel. Learn more: https://go.microsoft.com/fwlink/?linkid=870924
Comment:
    https://bnssghealthiertogether.org.uk/wp-content/uploads/2021/10/Percutaneous-Tibial-Nerve-Stimulation-Treatment-Policy-EFR-BNSSG-3-24-25-1.pdf IFR</t>
      </text>
    </comment>
    <comment ref="I110" authorId="347" shapeId="0" xr:uid="{5A7153F8-D77F-415D-A53D-7540A7EA916A}">
      <text>
        <t>[Threaded comment]
Your version of Excel allows you to read this threaded comment; however, any edits to it will get removed if the file is opened in a newer version of Excel. Learn more: https://go.microsoft.com/fwlink/?linkid=870924
Comment:
    https://www.cpics.org.uk/download.cfm?doc=docm93jijm4n1174.pdf&amp;ver=2155 tibial nerve but percutaneous</t>
      </text>
    </comment>
    <comment ref="V110" authorId="348" shapeId="0" xr:uid="{9C337C21-DCEF-475D-A146-440417555938}">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https://humberandnorthyorkshire.icb.nhs.uk/wp-content/uploads/2025/04/112-Percutaneous-Tibial-Nerve-Stimulation-PTNS-for-Urinary-Incontinence.docx
Reply:
    Also https://humberandnorthyorkshire.icb.nhs.uk/wp-content/uploads/2025/04/111-Percutaneous-Tibial-Nerve-Stimulation-PTNS-for-Faecal-Incontinence.docx</t>
      </text>
    </comment>
    <comment ref="Z110" authorId="349" shapeId="0" xr:uid="{D9C80ECA-5A25-480C-A842-45228DF6FA1E}">
      <text>
        <t>[Threaded comment]
Your version of Excel allows you to read this threaded comment; however, any edits to it will get removed if the file is opened in a newer version of Excel. Learn more: https://go.microsoft.com/fwlink/?linkid=870924
Comment:
    Unable to find</t>
      </text>
    </comment>
    <comment ref="C111" authorId="350" shapeId="0" xr:uid="{4A7C492A-81CE-423C-A093-7B07277E4455}">
      <text>
        <t>[Threaded comment]
Your version of Excel allows you to read this threaded comment; however, any edits to it will get removed if the file is opened in a newer version of Excel. Learn more: https://go.microsoft.com/fwlink/?linkid=870924
Comment:
    Unable to find on website</t>
      </text>
    </comment>
    <comment ref="E111" authorId="0" shapeId="0" xr:uid="{7D98FFBA-BCF7-40BC-9668-B84A7A0B58E2}">
      <text>
        <r>
          <rPr>
            <b/>
            <sz val="9"/>
            <color indexed="81"/>
            <rFont val="Tahoma"/>
            <family val="2"/>
          </rPr>
          <t>Jamie Smyth:</t>
        </r>
        <r>
          <rPr>
            <sz val="9"/>
            <color indexed="81"/>
            <rFont val="Tahoma"/>
            <family val="2"/>
          </rPr>
          <t xml:space="preserve">
Under "Options to consider" in lower back pain policy</t>
        </r>
      </text>
    </comment>
    <comment ref="G111" authorId="351" shapeId="0" xr:uid="{F9D45CB2-163D-4EDF-BC0A-FAC31C926751}">
      <text>
        <t>[Threaded comment]
Your version of Excel allows you to read this threaded comment; however, any edits to it will get removed if the file is opened in a newer version of Excel. Learn more: https://go.microsoft.com/fwlink/?linkid=870924
Comment:
    Unable to find</t>
      </text>
    </comment>
    <comment ref="J111" authorId="0" shapeId="0" xr:uid="{DBB68360-7B6D-4AAF-8141-837BD673ED2C}">
      <text>
        <r>
          <rPr>
            <b/>
            <sz val="9"/>
            <color indexed="81"/>
            <rFont val="Tahoma"/>
            <family val="2"/>
          </rPr>
          <t>Jamie Smyth:</t>
        </r>
        <r>
          <rPr>
            <sz val="9"/>
            <color indexed="81"/>
            <rFont val="Tahoma"/>
            <family val="2"/>
          </rPr>
          <t xml:space="preserve">
Chronic Low Back Pain, Radiofrequency Denervation policy</t>
        </r>
      </text>
    </comment>
    <comment ref="K111" authorId="0" shapeId="0" xr:uid="{EEA092DD-E01F-40DF-9C0F-D9094C28D3F6}">
      <text>
        <r>
          <rPr>
            <b/>
            <sz val="9"/>
            <color indexed="81"/>
            <rFont val="Tahoma"/>
            <family val="2"/>
          </rPr>
          <t>Jamie Smyth:</t>
        </r>
        <r>
          <rPr>
            <sz val="9"/>
            <color indexed="81"/>
            <rFont val="Tahoma"/>
            <family val="2"/>
          </rPr>
          <t xml:space="preserve">
Radiofrequency denervation with criteria</t>
        </r>
      </text>
    </comment>
    <comment ref="P111" authorId="0" shapeId="0" xr:uid="{770117A8-C99A-442C-8821-C1DD64730072}">
      <text>
        <r>
          <rPr>
            <b/>
            <sz val="9"/>
            <color indexed="81"/>
            <rFont val="Tahoma"/>
            <family val="2"/>
          </rPr>
          <t>Jamie Smyth:</t>
        </r>
        <r>
          <rPr>
            <sz val="9"/>
            <color indexed="81"/>
            <rFont val="Tahoma"/>
            <family val="2"/>
          </rPr>
          <t xml:space="preserve">
Can't find mention of spinal policies</t>
        </r>
      </text>
    </comment>
    <comment ref="U111" authorId="352" shapeId="0" xr:uid="{2C9F03CE-97C9-4BFA-9A98-D880DD20DEBF}">
      <text>
        <t>[Threaded comment]
Your version of Excel allows you to read this threaded comment; however, any edits to it will get removed if the file is opened in a newer version of Excel. Learn more: https://go.microsoft.com/fwlink/?linkid=870924
Comment:
    EBI https://www.hweclinicalguidance.nhs.uk/all-clinical-areas-documents/search-results/injections-and-radiofrequency-denervation-for-non-specific-back-pain/</t>
      </text>
    </comment>
    <comment ref="V111" authorId="0" shapeId="0" xr:uid="{C2627A4D-ED40-4953-9D2C-8D8675DA150D}">
      <text>
        <r>
          <rPr>
            <b/>
            <sz val="9"/>
            <color indexed="81"/>
            <rFont val="Tahoma"/>
            <family val="2"/>
          </rPr>
          <t>Jamie Smyth:</t>
        </r>
        <r>
          <rPr>
            <sz val="9"/>
            <color indexed="81"/>
            <rFont val="Tahoma"/>
            <family val="2"/>
          </rPr>
          <t xml:space="preserve">
Spinal Injections &amp; Facet joint injections of Local Anaesthetic and Steroid (Sciatica) policy</t>
        </r>
      </text>
    </comment>
    <comment ref="Z111" authorId="0" shapeId="0" xr:uid="{A3E7F131-FF91-4E62-957C-4CF684FBBC9A}">
      <text>
        <r>
          <rPr>
            <b/>
            <sz val="9"/>
            <color indexed="81"/>
            <rFont val="Tahoma"/>
            <family val="2"/>
          </rPr>
          <t>Jamie Smyth:</t>
        </r>
        <r>
          <rPr>
            <sz val="9"/>
            <color indexed="81"/>
            <rFont val="Tahoma"/>
            <family val="2"/>
          </rPr>
          <t xml:space="preserve">
Lumbar Radiofrequency Denervation  Page 101</t>
        </r>
      </text>
    </comment>
    <comment ref="AA111" authorId="353" shapeId="0" xr:uid="{ECBC2009-1D8C-48CD-8871-36C731C11D14}">
      <text>
        <t>[Threaded comment]
Your version of Excel allows you to read this threaded comment; however, any edits to it will get removed if the file is opened in a newer version of Excel. Learn more: https://go.microsoft.com/fwlink/?linkid=870924
Comment:
    Tick - https://www.midandsouthessex.ics.nhs.uk/publications/srp-095-spinal-injections-for-low-back-pain-and-radicular-leg-pain/</t>
      </text>
    </comment>
    <comment ref="AB111" authorId="0" shapeId="0" xr:uid="{6EEAADF4-209D-4CFF-9A58-D8808BEA80E3}">
      <text>
        <r>
          <rPr>
            <b/>
            <sz val="9"/>
            <color indexed="81"/>
            <rFont val="Tahoma"/>
            <family val="2"/>
          </rPr>
          <t>Jamie Smyth:</t>
        </r>
        <r>
          <rPr>
            <sz val="9"/>
            <color indexed="81"/>
            <rFont val="Tahoma"/>
            <family val="2"/>
          </rPr>
          <t xml:space="preserve">
https://nwknowledgenow.nhs.uk/content/radio-frequency-denervation-of-facet-joints/</t>
        </r>
      </text>
    </comment>
    <comment ref="AG111" authorId="0" shapeId="0" xr:uid="{C905CC0F-B34D-46CB-8743-D484DFD1342C}">
      <text>
        <r>
          <rPr>
            <b/>
            <sz val="9"/>
            <color indexed="81"/>
            <rFont val="Tahoma"/>
            <family val="2"/>
          </rPr>
          <t>Jamie Smyth:</t>
        </r>
        <r>
          <rPr>
            <sz val="9"/>
            <color indexed="81"/>
            <rFont val="Tahoma"/>
            <family val="2"/>
          </rPr>
          <t xml:space="preserve">
https://www.icnorthamptonshire.org.uk/documents?media_item=19773&amp;media_type=10#file-viewer</t>
        </r>
      </text>
    </comment>
    <comment ref="AH111" authorId="0" shapeId="0" xr:uid="{5A8E691A-5BE6-4785-9067-027ECC63CFE0}">
      <text>
        <r>
          <rPr>
            <b/>
            <sz val="9"/>
            <color indexed="81"/>
            <rFont val="Tahoma"/>
            <family val="2"/>
          </rPr>
          <t>Jamie Smyth:</t>
        </r>
        <r>
          <rPr>
            <sz val="9"/>
            <color indexed="81"/>
            <rFont val="Tahoma"/>
            <family val="2"/>
          </rPr>
          <t xml:space="preserve">
Page 149</t>
        </r>
      </text>
    </comment>
    <comment ref="AI111" authorId="0" shapeId="0" xr:uid="{01D999C4-9CFB-41CB-89FD-E42C4C00E0D6}">
      <text>
        <r>
          <rPr>
            <b/>
            <sz val="9"/>
            <color indexed="81"/>
            <rFont val="Tahoma"/>
            <family val="2"/>
          </rPr>
          <t>Jamie Smyth:</t>
        </r>
        <r>
          <rPr>
            <sz val="9"/>
            <color indexed="81"/>
            <rFont val="Tahoma"/>
            <family val="2"/>
          </rPr>
          <t xml:space="preserve">
Section 16E - Page 39</t>
        </r>
      </text>
    </comment>
    <comment ref="AP111" authorId="0" shapeId="0" xr:uid="{C152A78B-1EE9-49EC-B178-0DA4F3B0123B}">
      <text>
        <r>
          <rPr>
            <b/>
            <sz val="9"/>
            <color indexed="81"/>
            <rFont val="Tahoma"/>
            <family val="2"/>
          </rPr>
          <t>Jamie Smyth:</t>
        </r>
        <r>
          <rPr>
            <sz val="9"/>
            <color indexed="81"/>
            <rFont val="Tahoma"/>
            <family val="2"/>
          </rPr>
          <t xml:space="preserve">
25. Injections for Nonspecific Low Back Pain without Sciatica 
Page 42
Any other spinal injections not specifically covered above radiofrequency denervation can be offered according to NICE guidance (NG59) if all non-surgical and alternative treatments have been tried and there is moderate to severe chronic pain that has improved in response to diagnostic medical branch block. </t>
        </r>
      </text>
    </comment>
    <comment ref="AQ111" authorId="0" shapeId="0" xr:uid="{17A6DA33-89E3-4AEC-8E0D-8B358A07F32D}">
      <text>
        <r>
          <rPr>
            <b/>
            <sz val="9"/>
            <color indexed="81"/>
            <rFont val="Tahoma"/>
            <family val="2"/>
          </rPr>
          <t>Jamie Smyth:</t>
        </r>
        <r>
          <rPr>
            <sz val="9"/>
            <color indexed="81"/>
            <rFont val="Tahoma"/>
            <family val="2"/>
          </rPr>
          <t xml:space="preserve">
Spinal surgery assessment (11.2024) policy"</t>
        </r>
      </text>
    </comment>
    <comment ref="E112" authorId="354" shapeId="0" xr:uid="{FA4CA7F6-17E4-43D9-B75C-89A01358110E}">
      <text>
        <t>[Threaded comment]
Your version of Excel allows you to read this threaded comment; however, any edits to it will get removed if the file is opened in a newer version of Excel. Learn more: https://go.microsoft.com/fwlink/?linkid=870924
Comment:
    Should be a tick https://www.birminghamsolihull.icb.nhs.uk/application/files/8117/4134/4777/Policy_for_Continuous_Glucose_Monitoring_v3.0.pdf</t>
      </text>
    </comment>
    <comment ref="G112" authorId="355" shapeId="0" xr:uid="{668DF6DC-1288-406C-9277-E9BB15F82D57}">
      <text>
        <t>[Threaded comment]
Your version of Excel allows you to read this threaded comment; however, any edits to it will get removed if the file is opened in a newer version of Excel. Learn more: https://go.microsoft.com/fwlink/?linkid=870924
Comment:
    https://bnssghealthiertogether.org.uk/wp-content/uploads/2023/12/FOI.ICB-2223_100-Final-Response.pdf Criteria based</t>
      </text>
    </comment>
    <comment ref="L112" authorId="356" shapeId="0" xr:uid="{306591A5-A577-4947-99C5-8D32744266A4}">
      <text>
        <t>[Threaded comment]
Your version of Excel allows you to read this threaded comment; however, any edits to it will get removed if the file is opened in a newer version of Excel. Learn more: https://go.microsoft.com/fwlink/?linkid=870924
Comment:
    Should be a tick https://www.happyhealthylives.uk/clientfiles/files/document_library/CGM%20policy%20FINAL%20approved.docx</t>
      </text>
    </comment>
    <comment ref="M112" authorId="357" shapeId="0" xr:uid="{01C9F8DF-3492-4159-9D50-68D22A91CBFF}">
      <text>
        <t>[Threaded comment]
Your version of Excel allows you to read this threaded comment; however, any edits to it will get removed if the file is opened in a newer version of Excel. Learn more: https://go.microsoft.com/fwlink/?linkid=870924
Comment:
    Unable to find</t>
      </text>
    </comment>
    <comment ref="AQ112" authorId="358" shapeId="0" xr:uid="{4C0073C6-88AF-49C6-84B0-510001E344DC}">
      <text>
        <t>[Threaded comment]
Your version of Excel allows you to read this threaded comment; however, any edits to it will get removed if the file is opened in a newer version of Excel. Learn more: https://go.microsoft.com/fwlink/?linkid=870924
Comment:
    Tick https://www.wypartnership.co.uk/application/files/1316/8381/1462/WYICB_Commissioning_Policy_for_CGM_21.04.23.pdf</t>
      </text>
    </comment>
    <comment ref="F113" authorId="359" shapeId="0" xr:uid="{A98D6B1D-B79A-4183-A1D1-6829C6026BB8}">
      <text>
        <t xml:space="preserve">[Threaded comment]
Your version of Excel allows you to read this threaded comment; however, any edits to it will get removed if the file is opened in a newer version of Excel. Learn more: https://go.microsoft.com/fwlink/?linkid=870924
Comment:
    EBI: 
Repeat colonoscopy
A colonoscopy is a routine test to examine the lining of your bowel, also called the large intestine or colon.
https://blackcountry.icb.nhs.uk/have-your-say/get-involved/current-consultations-and-engagement/clinical-policy-review2
</t>
      </text>
    </comment>
    <comment ref="K113" authorId="360" shapeId="0" xr:uid="{EC46DDE5-B161-4F96-B986-D804D936C17F}">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M113" authorId="361" shapeId="0" xr:uid="{7C4B8D72-B1DA-4DB8-9FDA-92AEC83B63A3}">
      <text>
        <t>[Threaded comment]
Your version of Excel allows you to read this threaded comment; however, any edits to it will get removed if the file is opened in a newer version of Excel. Learn more: https://go.microsoft.com/fwlink/?linkid=870924
Comment:
    Prior approval https://www.derbyshiremedicinesmanagement.nhs.uk/assets/Clinical-Policies/Clinical_Policies/PLCV/general_surgery/Appropriate_colonoscopy_in_hereditary_colorectal_cancer%20.pdf</t>
      </text>
    </comment>
    <comment ref="F114" authorId="362" shapeId="0" xr:uid="{74919466-5E58-48A7-A4A9-D0DF2B51B65D}">
      <text>
        <t xml:space="preserve">[Threaded comment]
Your version of Excel allows you to read this threaded comment; however, any edits to it will get removed if the file is opened in a newer version of Excel. Learn more: https://go.microsoft.com/fwlink/?linkid=870924
Comment:
    EBI: 
Repeat colonoscopy
A colonoscopy is a routine test to examine the lining of your bowel, also called the large intestine or colon.
https://blackcountry.icb.nhs.uk/have-your-say/get-involved/current-consultations-and-engagement/clinical-policy-review2
</t>
      </text>
    </comment>
    <comment ref="K114" authorId="363" shapeId="0" xr:uid="{FF80729B-1D74-4CA4-86C1-739EC49BAB05}">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M114" authorId="364" shapeId="0" xr:uid="{51BF56F3-0E09-42DE-84F2-E38D9FAA8B13}">
      <text>
        <t>[Threaded comment]
Your version of Excel allows you to read this threaded comment; however, any edits to it will get removed if the file is opened in a newer version of Excel. Learn more: https://go.microsoft.com/fwlink/?linkid=870924
Comment:
    Prior approval https://www.derbyshiremedicinesmanagement.nhs.uk/assets/Clinical-Policies/Clinical_Policies/PLCV/general_surgery/Repeat_Colonoscopy.pdf</t>
      </text>
    </comment>
    <comment ref="U115" authorId="365" shapeId="0" xr:uid="{51D78FB3-10C6-4803-B1EB-B63DA254B36E}">
      <text>
        <t>[Threaded comment]
Your version of Excel allows you to read this threaded comment; however, any edits to it will get removed if the file is opened in a newer version of Excel. Learn more: https://go.microsoft.com/fwlink/?linkid=870924
Comment:
    IFR https://www.hweclinicalguidance.nhs.uk/all-clinical-areas-documents/search-results/transcranial-magnetic-stimulation-tms-and-rtms/</t>
      </text>
    </comment>
    <comment ref="AA115" authorId="366" shapeId="0" xr:uid="{3770BC46-81EC-4339-99D0-393E0138AC5C}">
      <text>
        <t>[Threaded comment]
Your version of Excel allows you to read this threaded comment; however, any edits to it will get removed if the file is opened in a newer version of Excel. Learn more: https://go.microsoft.com/fwlink/?linkid=870924
Comment:
    IFR https://www.midandsouthessex.ics.nhs.uk/publications/srp-105-transcranial-magnetic-stimulation/</t>
      </text>
    </comment>
    <comment ref="AB115" authorId="367" shapeId="0" xr:uid="{D2C0BAA7-317B-472E-90D5-B5A891522E4A}">
      <text>
        <t>[Threaded comment]
Your version of Excel allows you to read this threaded comment; however, any edits to it will get removed if the file is opened in a newer version of Excel. Learn more: https://go.microsoft.com/fwlink/?linkid=870924
Comment:
    IFR https://nwknowledgenow.nhs.uk/content/transcranial-magnetic-stimulation/</t>
      </text>
    </comment>
    <comment ref="C116" authorId="368" shapeId="0" xr:uid="{3A59F4D7-E736-4247-AC99-38733FCF2013}">
      <text>
        <t>[Threaded comment]
Your version of Excel allows you to read this threaded comment; however, any edits to it will get removed if the file is opened in a newer version of Excel. Learn more: https://go.microsoft.com/fwlink/?linkid=870924
Comment:
    IFR - https://bsw.icb.nhs.uk/wp-content/uploads/sites/6/2023/09/BSW-ICB-CP025-Reversal-of-Sterilisation.pdf</t>
      </text>
    </comment>
    <comment ref="R116" authorId="369" shapeId="0" xr:uid="{D3C748CB-BB34-4B6B-A223-412F0B508023}">
      <text>
        <t>[Threaded comment]
Your version of Excel allows you to read this threaded comment; however, any edits to it will get removed if the file is opened in a newer version of Excel. Learn more: https://go.microsoft.com/fwlink/?linkid=870924
Comment:
    https://www.gmeurnhs.co.uk/nhsgmgmicbblobstorage/GMEUR/Other%20Policies/Assisted%20Conception%20Policy%20BLUETEQ%20ALL%20CCGS%20FOR%20TEAM.pdf not comisioned</t>
      </text>
    </comment>
    <comment ref="AG116" authorId="370" shapeId="0" xr:uid="{1B66AD76-98D8-493F-9717-DE9371768164}">
      <text>
        <t>[Threaded comment]
Your version of Excel allows you to read this threaded comment; however, any edits to it will get removed if the file is opened in a newer version of Excel. Learn more: https://go.microsoft.com/fwlink/?linkid=870924
Comment:
    IFR - https://www.icnorthamptonshire.org.uk/download.cfm?doc=docm93jijm4n19774&amp;ver=65856</t>
      </text>
    </comment>
    <comment ref="AK116" authorId="371" shapeId="0" xr:uid="{08E17F6C-96BF-4E4B-B468-4487F731FE5A}">
      <text>
        <t>[Threaded comment]
Your version of Excel allows you to read this threaded comment; however, any edits to it will get removed if the file is opened in a newer version of Excel. Learn more: https://go.microsoft.com/fwlink/?linkid=870924
Comment:
    “Reversal of vasectomy or sterilisation” “No longer needing to be referenced in TAP  ” If a particular procedure/approach is not listed within local policies then it is not commissioned and not available. https://www.selondonics.org/wp-content/uploads/dlm_uploads/SEL-Treatment-Access-Policy-July-2024-v1.pdf</t>
      </text>
    </comment>
    <comment ref="U117" authorId="0" shapeId="0" xr:uid="{06AEA286-BCE3-41C8-81ED-CDBB64EE7FE4}">
      <text>
        <r>
          <rPr>
            <b/>
            <sz val="9"/>
            <color indexed="81"/>
            <rFont val="Tahoma"/>
            <family val="2"/>
          </rPr>
          <t>Jamie Smyth:</t>
        </r>
        <r>
          <rPr>
            <sz val="9"/>
            <color indexed="81"/>
            <rFont val="Tahoma"/>
            <family val="2"/>
          </rPr>
          <t xml:space="preserve">
Can't find mention of Specific policies</t>
        </r>
      </text>
    </comment>
    <comment ref="V117" authorId="0" shapeId="0" xr:uid="{34C84D67-613A-4422-A241-5FCD5E92DC25}">
      <text>
        <r>
          <rPr>
            <b/>
            <sz val="9"/>
            <color indexed="81"/>
            <rFont val="Tahoma"/>
            <family val="2"/>
          </rPr>
          <t>Jamie Smyth:</t>
        </r>
        <r>
          <rPr>
            <sz val="9"/>
            <color indexed="81"/>
            <rFont val="Tahoma"/>
            <family val="2"/>
          </rPr>
          <t xml:space="preserve">
Sacral nerve stimulation (neuromodulation) for Idiopathic chronic urinary retention in Men and Women policy. AO:  In faecal retention however IFR - https://humberandnorthyorkshire.icb.nhs.uk/wp-content/uploads/2024/12/Sacral-Nerve-Stimulation-SNS-%E2%80%93-Faecal-Retention.docx
</t>
        </r>
      </text>
    </comment>
    <comment ref="X117" authorId="0" shapeId="0" xr:uid="{8F26AA89-6DB6-4CF1-97AD-0EA6A6F0201A}">
      <text>
        <r>
          <rPr>
            <b/>
            <sz val="9"/>
            <color indexed="81"/>
            <rFont val="Tahoma"/>
            <family val="2"/>
          </rPr>
          <t>Jamie Smyth:</t>
        </r>
        <r>
          <rPr>
            <sz val="9"/>
            <color indexed="81"/>
            <rFont val="Tahoma"/>
            <family val="2"/>
          </rPr>
          <t xml:space="preserve">
Policy for Sacral Neuromodulation</t>
        </r>
      </text>
    </comment>
    <comment ref="AA117" authorId="0" shapeId="0" xr:uid="{6A3771AC-3011-4AC8-94D3-185DCF22850B}">
      <text>
        <r>
          <rPr>
            <b/>
            <sz val="9"/>
            <color indexed="81"/>
            <rFont val="Tahoma"/>
            <family val="2"/>
          </rPr>
          <t>Jamie Smyth:</t>
        </r>
        <r>
          <rPr>
            <sz val="9"/>
            <color indexed="81"/>
            <rFont val="Tahoma"/>
            <family val="2"/>
          </rPr>
          <t xml:space="preserve">
https://www.midandsouthessex.ics.nhs.uk/publications/srp-086-sacral-nerve-stimulation/</t>
        </r>
      </text>
    </comment>
    <comment ref="AB117" authorId="372" shapeId="0" xr:uid="{72ACC593-DEAE-47CC-B056-B1F85A3376A8}">
      <text>
        <t>[Threaded comment]
Your version of Excel allows you to read this threaded comment; however, any edits to it will get removed if the file is opened in a newer version of Excel. Learn more: https://go.microsoft.com/fwlink/?linkid=870924
Comment:
    Funded tick “sacral nerve stimulation for faecal incontinence and urinary incontinence ”https://nwknowledgenow.nhs.uk/content/neurostimulation/</t>
      </text>
    </comment>
    <comment ref="AE117" authorId="0" shapeId="0" xr:uid="{2EC10C4E-E515-4F9B-9417-1FBC35CB8D00}">
      <text>
        <r>
          <rPr>
            <b/>
            <sz val="9"/>
            <color indexed="81"/>
            <rFont val="Tahoma"/>
            <family val="2"/>
          </rPr>
          <t>Jamie Smyth:</t>
        </r>
        <r>
          <rPr>
            <sz val="9"/>
            <color indexed="81"/>
            <rFont val="Tahoma"/>
            <family val="2"/>
          </rPr>
          <t xml:space="preserve">
Sacral nerve stimulation for faecal and urinary incontinence - Category 1 - Page 30</t>
        </r>
      </text>
    </comment>
    <comment ref="AH117" authorId="0" shapeId="0" xr:uid="{B45857E0-935B-4B5A-91C1-289CE9DF2B39}">
      <text>
        <r>
          <rPr>
            <b/>
            <sz val="9"/>
            <color indexed="81"/>
            <rFont val="Tahoma"/>
            <family val="2"/>
          </rPr>
          <t>Jamie Smyth:</t>
        </r>
        <r>
          <rPr>
            <sz val="9"/>
            <color indexed="81"/>
            <rFont val="Tahoma"/>
            <family val="2"/>
          </rPr>
          <t xml:space="preserve">
Sacral Nerve Stimulation - Page 167</t>
        </r>
      </text>
    </comment>
    <comment ref="AI117" authorId="0" shapeId="0" xr:uid="{3372A5CA-C647-479B-9F8D-9617B897A55E}">
      <text>
        <r>
          <rPr>
            <b/>
            <sz val="9"/>
            <color indexed="81"/>
            <rFont val="Tahoma"/>
            <family val="2"/>
          </rPr>
          <t>Jamie Smyth:</t>
        </r>
        <r>
          <rPr>
            <sz val="9"/>
            <color indexed="81"/>
            <rFont val="Tahoma"/>
            <family val="2"/>
          </rPr>
          <t xml:space="preserve">
Not mentioned in document</t>
        </r>
      </text>
    </comment>
    <comment ref="AM117" authorId="0" shapeId="0" xr:uid="{74C900CF-5B55-449F-93BA-702967C1FDEA}">
      <text>
        <r>
          <rPr>
            <b/>
            <sz val="9"/>
            <color indexed="81"/>
            <rFont val="Tahoma"/>
            <family val="2"/>
          </rPr>
          <t>Jamie Smyth:</t>
        </r>
        <r>
          <rPr>
            <sz val="9"/>
            <color indexed="81"/>
            <rFont val="Tahoma"/>
            <family val="2"/>
          </rPr>
          <t xml:space="preserve">
Sacral Nerve Stimulation for  Urinary or Faecal Incontinence - Page 62</t>
        </r>
      </text>
    </comment>
    <comment ref="AQ117" authorId="0" shapeId="0" xr:uid="{6EE4D2FA-C0E1-43D9-BFA1-78D7D429828D}">
      <text>
        <r>
          <rPr>
            <b/>
            <sz val="9"/>
            <color indexed="81"/>
            <rFont val="Tahoma"/>
            <family val="2"/>
          </rPr>
          <t>Jamie Smyth:</t>
        </r>
        <r>
          <rPr>
            <sz val="9"/>
            <color indexed="81"/>
            <rFont val="Tahoma"/>
            <family val="2"/>
          </rPr>
          <t xml:space="preserve">
Sacral nerve stimulation for chronic constipation  policy</t>
        </r>
      </text>
    </comment>
    <comment ref="D118" authorId="373" shapeId="0" xr:uid="{AE639C35-EDD4-43D1-B60D-8C225FD41324}">
      <text>
        <t>[Threaded comment]
Your version of Excel allows you to read this threaded comment; however, any edits to it will get removed if the file is opened in a newer version of Excel. Learn more: https://go.microsoft.com/fwlink/?linkid=870924
Comment:
    https://bedfordshirelutonandmiltonkeynes.icb.nhs.uk/our-publications/policies/evidence-based-clinical-policies/treatment-of-scars/?layout=file - criteria based access with ref to not normally funded if cosmetic</t>
      </text>
    </comment>
    <comment ref="F118" authorId="0" shapeId="0" xr:uid="{B576248F-1020-43A2-B79C-AB85B5B7626C}">
      <text>
        <r>
          <rPr>
            <b/>
            <sz val="9"/>
            <color indexed="81"/>
            <rFont val="Tahoma"/>
            <family val="2"/>
          </rPr>
          <t>Jamie Smyth:</t>
        </r>
        <r>
          <rPr>
            <sz val="9"/>
            <color indexed="81"/>
            <rFont val="Tahoma"/>
            <family val="2"/>
          </rPr>
          <t xml:space="preserve">
Hysterectomy for HMB policy</t>
        </r>
      </text>
    </comment>
    <comment ref="G118" authorId="0" shapeId="0" xr:uid="{1592DF94-CDEA-4D9F-A54B-EB13F4E619F2}">
      <text>
        <r>
          <rPr>
            <b/>
            <sz val="9"/>
            <color indexed="81"/>
            <rFont val="Tahoma"/>
            <family val="2"/>
          </rPr>
          <t>Jamie Smyth:</t>
        </r>
        <r>
          <rPr>
            <sz val="9"/>
            <color indexed="81"/>
            <rFont val="Tahoma"/>
            <family val="2"/>
          </rPr>
          <t xml:space="preserve">
Cosmetic Surgery or Treatment policy</t>
        </r>
      </text>
    </comment>
    <comment ref="H118" authorId="0" shapeId="0" xr:uid="{6CEDE01A-D7A2-4F6C-9F79-EC551AAEC548}">
      <text>
        <r>
          <rPr>
            <b/>
            <sz val="9"/>
            <color indexed="81"/>
            <rFont val="Tahoma"/>
            <family val="2"/>
          </rPr>
          <t>Jamie Smyth:</t>
        </r>
        <r>
          <rPr>
            <sz val="9"/>
            <color indexed="81"/>
            <rFont val="Tahoma"/>
            <family val="2"/>
          </rPr>
          <t xml:space="preserve">
Aesthetic Treatments for Adults and Children  policy</t>
        </r>
      </text>
    </comment>
    <comment ref="J118" authorId="374" shapeId="0" xr:uid="{82281A8B-8E8A-45EE-BA04-650D2F1A020B}">
      <text>
        <t>[Threaded comment]
Your version of Excel allows you to read this threaded comment; however, any edits to it will get removed if the file is opened in a newer version of Excel. Learn more: https://go.microsoft.com/fwlink/?linkid=870924
Comment:
    https://www.cheshireandmerseyside.nhs.uk/media/ujsbgw4v/pol-clin103-scars-surgical-revision-final-v03.pdf criteria based</t>
      </text>
    </comment>
    <comment ref="L118" authorId="0" shapeId="0" xr:uid="{263CF953-54A6-439F-86A0-CF2F1F0DE92F}">
      <text>
        <r>
          <rPr>
            <b/>
            <sz val="9"/>
            <color indexed="81"/>
            <rFont val="Tahoma"/>
            <family val="2"/>
          </rPr>
          <t>Jamie Smyth:</t>
        </r>
        <r>
          <rPr>
            <sz val="9"/>
            <color indexed="81"/>
            <rFont val="Tahoma"/>
            <family val="2"/>
          </rPr>
          <t xml:space="preserve">
Treatments Designed to Improve Aesthetic Appearance Policy</t>
        </r>
      </text>
    </comment>
    <comment ref="N118" authorId="0" shapeId="0" xr:uid="{D7DEDB85-9651-489F-A355-7D607CFB8664}">
      <text>
        <r>
          <rPr>
            <b/>
            <sz val="9"/>
            <color indexed="81"/>
            <rFont val="Tahoma"/>
            <family val="2"/>
          </rPr>
          <t>Jamie Smyth:</t>
        </r>
        <r>
          <rPr>
            <sz val="9"/>
            <color indexed="81"/>
            <rFont val="Tahoma"/>
            <family val="2"/>
          </rPr>
          <t xml:space="preserve">
Comestic Policy - Appendix 1 - AO: has criteria in cosmetic policy</t>
        </r>
      </text>
    </comment>
    <comment ref="O118" authorId="0" shapeId="0" xr:uid="{9EE16EEB-D708-4AF5-9703-0F8A799C202A}">
      <text>
        <r>
          <rPr>
            <b/>
            <sz val="9"/>
            <color indexed="81"/>
            <rFont val="Tahoma"/>
            <family val="2"/>
          </rPr>
          <t>Jamie Smyth:</t>
        </r>
        <r>
          <rPr>
            <sz val="9"/>
            <color indexed="81"/>
            <rFont val="Tahoma"/>
            <family val="2"/>
          </rPr>
          <t xml:space="preserve">
Cosmetic Treatments (including Laser) - mentions scar revision</t>
        </r>
      </text>
    </comment>
    <comment ref="P118" authorId="0" shapeId="0" xr:uid="{5AFE3A00-6DBF-4FF2-9146-DF314C6B14B2}">
      <text>
        <r>
          <rPr>
            <b/>
            <sz val="9"/>
            <color indexed="81"/>
            <rFont val="Tahoma"/>
            <family val="2"/>
          </rPr>
          <t>Jamie Smyth:</t>
        </r>
        <r>
          <rPr>
            <sz val="9"/>
            <color indexed="81"/>
            <rFont val="Tahoma"/>
            <family val="2"/>
          </rPr>
          <t xml:space="preserve">
Cosmetic Surgery policy</t>
        </r>
      </text>
    </comment>
    <comment ref="R118" authorId="375" shapeId="0" xr:uid="{2A381499-15FA-4ACF-9580-5D3CD133D1BF}">
      <text>
        <t>[Threaded comment]
Your version of Excel allows you to read this threaded comment; however, any edits to it will get removed if the file is opened in a newer version of Excel. Learn more: https://go.microsoft.com/fwlink/?linkid=870924
Comment:
    Criteria based https://nhsgmgmicbsa.blob.core.windows.net/nhsgmgmicbblobstorage/GMEUR/Commissioning%20Statements/GM%20Commissioning%20Statements%20descriptions.pdf</t>
      </text>
    </comment>
    <comment ref="U118" authorId="0" shapeId="0" xr:uid="{16C2EBE4-12D7-4AC3-87D7-D5484D4E6FD4}">
      <text>
        <r>
          <rPr>
            <b/>
            <sz val="9"/>
            <color indexed="81"/>
            <rFont val="Tahoma"/>
            <family val="2"/>
          </rPr>
          <t>Jamie Smyth:</t>
        </r>
        <r>
          <rPr>
            <sz val="9"/>
            <color indexed="81"/>
            <rFont val="Tahoma"/>
            <family val="2"/>
          </rPr>
          <t xml:space="preserve">
https://www.hweclinicalguidance.nhs.uk/clinical-policies/scar-revision/</t>
        </r>
      </text>
    </comment>
    <comment ref="Z118" authorId="376" shapeId="0" xr:uid="{83B5286D-2869-4F27-AB61-45AF32AA1ED6}">
      <text>
        <t>[Threaded comment]
Your version of Excel allows you to read this threaded comment; however, any edits to it will get removed if the file is opened in a newer version of Excel. Learn more: https://go.microsoft.com/fwlink/?linkid=870924
Comment:
    IFR https://lincolnshire.icb.nhs.uk/~documents/icb-publications/our-policies-and-procedures/clinical-governance/cg-003-prior-approval-policy/?layout=file</t>
      </text>
    </comment>
    <comment ref="AA118" authorId="0" shapeId="0" xr:uid="{B513534E-47E9-49D8-ACE4-36AECB3B6668}">
      <text>
        <r>
          <rPr>
            <b/>
            <sz val="9"/>
            <color indexed="81"/>
            <rFont val="Tahoma"/>
            <family val="2"/>
          </rPr>
          <t>Jamie Smyth:</t>
        </r>
        <r>
          <rPr>
            <sz val="9"/>
            <color indexed="81"/>
            <rFont val="Tahoma"/>
            <family val="2"/>
          </rPr>
          <t xml:space="preserve">
https://www.midandsouthessex.ics.nhs.uk/publications/srp-087-scar-revision/</t>
        </r>
      </text>
    </comment>
    <comment ref="AD118" authorId="246" shapeId="0" xr:uid="{98ECA721-5FF5-4899-8FA5-9CFE7B4B35EF}">
      <text>
        <r>
          <rPr>
            <b/>
            <sz val="9"/>
            <color indexed="81"/>
            <rFont val="Tahoma"/>
            <family val="2"/>
          </rPr>
          <t>Smyth, Jamie B:</t>
        </r>
        <r>
          <rPr>
            <sz val="9"/>
            <color indexed="81"/>
            <rFont val="Tahoma"/>
            <family val="2"/>
          </rPr>
          <t xml:space="preserve">
Covered under removal of benign lesions policy (Page 35)</t>
        </r>
      </text>
    </comment>
    <comment ref="AG118" authorId="0" shapeId="0" xr:uid="{29AFAB76-7108-40ED-B87D-ED57CB25B88C}">
      <text>
        <r>
          <rPr>
            <b/>
            <sz val="9"/>
            <color indexed="81"/>
            <rFont val="Tahoma"/>
            <family val="2"/>
          </rPr>
          <t>Jamie Smyth:</t>
        </r>
        <r>
          <rPr>
            <sz val="9"/>
            <color indexed="81"/>
            <rFont val="Tahoma"/>
            <family val="2"/>
          </rPr>
          <t xml:space="preserve">
https://www.icnorthamptonshire.org.uk/documents?media_item=19776&amp;media_type=10#file-viewer</t>
        </r>
      </text>
    </comment>
    <comment ref="AH118" authorId="377" shapeId="0" xr:uid="{6299D1A8-51D2-41F7-BE4D-872DACEBDBAC}">
      <text>
        <t>[Threaded comment]
Your version of Excel allows you to read this threaded comment; however, any edits to it will get removed if the file is opened in a newer version of Excel. Learn more: https://go.microsoft.com/fwlink/?linkid=870924
Comment:
    Prior approval - Disfiguring scars and keloid or hypertrophic scars (including acne scarring), whether arising from prior injury or surgery, are also included in the scope of this policy https://notts.icb.nhs.uk/wp-content/uploads/sites/2/2022/04/Value-Based-Commissioning-PolicyV1.4-2.pdf</t>
      </text>
    </comment>
    <comment ref="AL118" authorId="378" shapeId="0" xr:uid="{1943D1C6-5B4B-4CD2-BC0B-E67F16FA022E}">
      <text>
        <t xml:space="preserve">[Threaded comment]
Your version of Excel allows you to read this threaded comment; however, any edits to it will get removed if the file is opened in a newer version of Excel. Learn more: https://go.microsoft.com/fwlink/?linkid=870924
Comment:
    ?IFR or criteria? Revision surgery for scars will not be routinely commissioned by the NHS for cosmetic reasons. Cases may be considered on an exceptional basis, for example where the patient: • has significant deformity, severe functional problems, or needs surgery to restore normal function or • has a scar resulting in significant facial disfigurement </t>
      </text>
    </comment>
    <comment ref="K119" authorId="379" shapeId="0" xr:uid="{46AA92BB-51F3-4A5F-B93A-1C7D4E395F61}">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M119" authorId="380" shapeId="0" xr:uid="{D98DAB98-8120-431A-8027-445F298E35E7}">
      <text>
        <t>[Threaded comment]
Your version of Excel allows you to read this threaded comment; however, any edits to it will get removed if the file is opened in a newer version of Excel. Learn more: https://go.microsoft.com/fwlink/?linkid=870924
Comment:
    IFR https://www.derbyshiremedicinesmanagement.nhs.uk/assets/Clinical-Policies/Clinical_Policies/PLCV/cardiology/Asymptomatic_carotid_artery_stenosis_screening.pdf</t>
      </text>
    </comment>
    <comment ref="G120" authorId="0" shapeId="0" xr:uid="{7A0235BE-31C5-493F-9397-CA8327931EC5}">
      <text>
        <r>
          <rPr>
            <b/>
            <sz val="9"/>
            <color indexed="81"/>
            <rFont val="Tahoma"/>
            <family val="2"/>
          </rPr>
          <t>Jamie Smyth:</t>
        </r>
        <r>
          <rPr>
            <sz val="9"/>
            <color indexed="81"/>
            <rFont val="Tahoma"/>
            <family val="2"/>
          </rPr>
          <t xml:space="preserve">
Variable - Hydroceles funded with criteria, testicular implants funded by IFR</t>
        </r>
      </text>
    </comment>
    <comment ref="J120" authorId="381" shapeId="0" xr:uid="{1C969CD2-7BAF-4AEA-AD52-557882783CA4}">
      <text>
        <t>[Threaded comment]
Your version of Excel allows you to read this threaded comment; however, any edits to it will get removed if the file is opened in a newer version of Excel. Learn more: https://go.microsoft.com/fwlink/?linkid=870924
Comment:
    Tick https://www.cheshireandmerseyside.nhs.uk/media/eosid3bq/pol-clin105-hydrocele-final-v04.pdf</t>
      </text>
    </comment>
    <comment ref="K120" authorId="382" shapeId="0" xr:uid="{9815367F-DD31-4AD4-BF77-98FA0F82EEF1}">
      <text>
        <t>[Threaded comment]
Your version of Excel allows you to read this threaded comment; however, any edits to it will get removed if the file is opened in a newer version of Excel. Learn more: https://go.microsoft.com/fwlink/?linkid=870924
Comment:
    Testicular prosthesis IFR https://cios.icb.nhs.uk/health/treatment-policies/</t>
      </text>
    </comment>
    <comment ref="N120" authorId="0" shapeId="0" xr:uid="{BCD600F4-999C-4E4C-841B-1FAD9E0F6FBD}">
      <text>
        <r>
          <rPr>
            <b/>
            <sz val="9"/>
            <color indexed="81"/>
            <rFont val="Tahoma"/>
            <family val="2"/>
          </rPr>
          <t>Jamie Smyth:</t>
        </r>
        <r>
          <rPr>
            <sz val="9"/>
            <color indexed="81"/>
            <rFont val="Tahoma"/>
            <family val="2"/>
          </rPr>
          <t xml:space="preserve">
Comestic Policy - Appendix 1 mentions testicular implants for IFR but no mention of other urological procedures</t>
        </r>
      </text>
    </comment>
    <comment ref="U120" authorId="383" shapeId="0" xr:uid="{7EEBCBA4-3A69-40F9-9E1A-86C16AE0B01D}">
      <text>
        <t>[Threaded comment]
Your version of Excel allows you to read this threaded comment; however, any edits to it will get removed if the file is opened in a newer version of Excel. Learn more: https://go.microsoft.com/fwlink/?linkid=870924
Comment:
    Unable to find</t>
      </text>
    </comment>
    <comment ref="AM121" authorId="384" shapeId="0" xr:uid="{3E51B962-1C1E-4733-8C7B-891DE88FC9CC}">
      <text>
        <t>[Threaded comment]
Your version of Excel allows you to read this threaded comment; however, any edits to it will get removed if the file is opened in a newer version of Excel. Learn more: https://go.microsoft.com/fwlink/?linkid=870924
Comment:
    Tick - Shoulder Replacement Surgery https://staffsstoke.icb.nhs.uk/your-nhs-integrated-care-board/our-publications/governance-handbook/all-policies/commissioning/icb-excluded-and-restricted-procedures-policy-v3-1/?layout=file</t>
      </text>
    </comment>
    <comment ref="T122" authorId="385" shapeId="0" xr:uid="{4192389E-DE40-4CFA-A82D-8EAD67ECF7D7}">
      <text>
        <t>[Threaded comment]
Your version of Excel allows you to read this threaded comment; however, any edits to it will get removed if the file is opened in a newer version of Excel. Learn more: https://go.microsoft.com/fwlink/?linkid=870924
Comment:
    Unable to find ref</t>
      </text>
    </comment>
    <comment ref="B123" authorId="0" shapeId="0" xr:uid="{CF147AF3-B5CC-46B7-B69C-D98566968EFB}">
      <text>
        <r>
          <rPr>
            <b/>
            <sz val="9"/>
            <color indexed="81"/>
            <rFont val="Tahoma"/>
            <family val="2"/>
          </rPr>
          <t>Jamie Smyth:</t>
        </r>
        <r>
          <rPr>
            <sz val="9"/>
            <color indexed="81"/>
            <rFont val="Tahoma"/>
            <family val="2"/>
          </rPr>
          <t xml:space="preserve">
Identical criteria to discectomy</t>
        </r>
      </text>
    </comment>
    <comment ref="C123" authorId="0" shapeId="0" xr:uid="{8BD47387-DC2C-4FF8-81BC-DC6C10269D83}">
      <text>
        <r>
          <rPr>
            <b/>
            <sz val="9"/>
            <color indexed="81"/>
            <rFont val="Tahoma"/>
            <family val="2"/>
          </rPr>
          <t>Jamie Smyth:</t>
        </r>
        <r>
          <rPr>
            <sz val="9"/>
            <color indexed="81"/>
            <rFont val="Tahoma"/>
            <family val="2"/>
          </rPr>
          <t xml:space="preserve">
covered under discectomy guidance</t>
        </r>
      </text>
    </comment>
    <comment ref="D123" authorId="0" shapeId="0" xr:uid="{93717A48-2559-4ADF-9809-BE0CBA29BAEC}">
      <text>
        <r>
          <rPr>
            <b/>
            <sz val="9"/>
            <color indexed="81"/>
            <rFont val="Tahoma"/>
            <family val="2"/>
          </rPr>
          <t>Jamie Smyth:</t>
        </r>
        <r>
          <rPr>
            <sz val="9"/>
            <color indexed="81"/>
            <rFont val="Tahoma"/>
            <family val="2"/>
          </rPr>
          <t xml:space="preserve">
Covered under discectomy guidance - ?cannot find in guidance https://bedfordshirelutonandmiltonkeynes.icb.nhs.uk/~documents/policies/evidence-based-clinical-policies/back-pain-sciatica-injections-discectomy
Discectomy is a form of decompression - all discectomies are decompression but not all decompressions are discectomies</t>
        </r>
      </text>
    </comment>
    <comment ref="E123" authorId="0" shapeId="0" xr:uid="{FB3F1BF1-D8A6-4823-82DE-3BBBF90BF5F1}">
      <text>
        <r>
          <rPr>
            <b/>
            <sz val="9"/>
            <color indexed="81"/>
            <rFont val="Tahoma"/>
            <family val="2"/>
          </rPr>
          <t>Jamie Smyth:</t>
        </r>
        <r>
          <rPr>
            <sz val="9"/>
            <color indexed="81"/>
            <rFont val="Tahoma"/>
            <family val="2"/>
          </rPr>
          <t xml:space="preserve">
Under "Options to consider" in lower back pain policy</t>
        </r>
      </text>
    </comment>
    <comment ref="G123" authorId="0" shapeId="0" xr:uid="{24279897-CDC9-4079-8E09-9FBA9FBAD5B7}">
      <text>
        <r>
          <rPr>
            <b/>
            <sz val="9"/>
            <color indexed="81"/>
            <rFont val="Tahoma"/>
            <family val="2"/>
          </rPr>
          <t>Jamie Smyth:</t>
        </r>
        <r>
          <rPr>
            <sz val="9"/>
            <color indexed="81"/>
            <rFont val="Tahoma"/>
            <family val="2"/>
          </rPr>
          <t xml:space="preserve">
Referral for Assessment for Spinal Surgical Opinion policy. AO unable to find  in document</t>
        </r>
      </text>
    </comment>
    <comment ref="J123" authorId="386" shapeId="0" xr:uid="{2E619722-3526-47BB-903D-087961937B11}">
      <text>
        <t>[Threaded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https://www.cheshireandmerseyside.nhs.uk/media/glgbhefd/pol-clin088-lumbarspinaldecompression-final-v04.pdf</t>
      </text>
    </comment>
    <comment ref="K123" authorId="387" shapeId="0" xr:uid="{95E5FCB1-32B6-4286-AEDB-3FB1A6C24F9F}">
      <text>
        <t>[Threaded comment]
Your version of Excel allows you to read this threaded comment; however, any edits to it will get removed if the file is opened in a newer version of Excel. Learn more: https://go.microsoft.com/fwlink/?linkid=870924
Comment:
    Spinal fusion is appropriate during spinal decompression surgery for nerve compression, where a more extensive exposure of the affected neurological structures is required and would otherwise render the spine unstable. https://docs.cios.icb.nhs.uk/DocumentsLibrary/NHSCornwallAndIslesOfScilly/Services/IndividualFundingRequests/CommissioningPolicies.pdf ?tick</t>
      </text>
    </comment>
    <comment ref="M123" authorId="0" shapeId="0" xr:uid="{AFA32CE1-4D70-454A-B96B-DB60F79FE1A4}">
      <text>
        <r>
          <rPr>
            <b/>
            <sz val="9"/>
            <color indexed="81"/>
            <rFont val="Tahoma"/>
            <family val="2"/>
          </rPr>
          <t>Jamie Smyth:</t>
        </r>
        <r>
          <rPr>
            <sz val="9"/>
            <color indexed="81"/>
            <rFont val="Tahoma"/>
            <family val="2"/>
          </rPr>
          <t xml:space="preserve">
Spinal Decompression for Sciatica Policy </t>
        </r>
      </text>
    </comment>
    <comment ref="N123" authorId="0" shapeId="0" xr:uid="{57D85817-21D5-4F4C-8BC0-4956196EEC5C}">
      <text>
        <r>
          <rPr>
            <b/>
            <sz val="9"/>
            <color indexed="81"/>
            <rFont val="Tahoma"/>
            <family val="2"/>
          </rPr>
          <t>Jamie Smyth:</t>
        </r>
        <r>
          <rPr>
            <sz val="9"/>
            <color indexed="81"/>
            <rFont val="Tahoma"/>
            <family val="2"/>
          </rPr>
          <t xml:space="preserve">
Lumbar Discectomy for the
management of sciatica policy 
AO: unable to find ref to decompression
JS: Discectomy is a form of decompression</t>
        </r>
      </text>
    </comment>
    <comment ref="O123" authorId="0" shapeId="0" xr:uid="{49F4E929-BC24-4DA1-8AA7-5C1BAE5497A2}">
      <text>
        <r>
          <rPr>
            <b/>
            <sz val="9"/>
            <color indexed="81"/>
            <rFont val="Tahoma"/>
            <family val="2"/>
          </rPr>
          <t>Jamie Smyth:</t>
        </r>
        <r>
          <rPr>
            <sz val="9"/>
            <color indexed="81"/>
            <rFont val="Tahoma"/>
            <family val="2"/>
          </rPr>
          <t xml:space="preserve">
Lumbar Discectomy  policy
 AO unable to find https://nhsdorset.nhs.uk/wp-content/uploads/2023/10/Final-NHS-Dorset-EBI-Lumbar-Discectomy.pdf
Discectomy is decompression</t>
        </r>
      </text>
    </comment>
    <comment ref="P123" authorId="0" shapeId="0" xr:uid="{D5DD61CA-5A01-4FDB-ABBE-23DF0333C972}">
      <text>
        <r>
          <rPr>
            <b/>
            <sz val="9"/>
            <color indexed="81"/>
            <rFont val="Tahoma"/>
            <family val="2"/>
          </rPr>
          <t>Jamie Smyth:</t>
        </r>
        <r>
          <rPr>
            <sz val="9"/>
            <color indexed="81"/>
            <rFont val="Tahoma"/>
            <family val="2"/>
          </rPr>
          <t xml:space="preserve">
Can't find mention of spinal policies</t>
        </r>
      </text>
    </comment>
    <comment ref="Q123" authorId="388" shapeId="0" xr:uid="{8AC7CF1A-1AB0-4F61-87BF-05E4F3695C01}">
      <text>
        <t>[Threaded comment]
Your version of Excel allows you to read this threaded comment; however, any edits to it will get removed if the file is opened in a newer version of Excel. Learn more: https://go.microsoft.com/fwlink/?linkid=870924
Comment:
    Unable to find ref</t>
      </text>
    </comment>
    <comment ref="W123" authorId="0" shapeId="0" xr:uid="{7CF32D2D-25AE-49D9-9B86-F00B268EC106}">
      <text>
        <r>
          <rPr>
            <b/>
            <sz val="9"/>
            <color indexed="81"/>
            <rFont val="Tahoma"/>
            <family val="2"/>
          </rPr>
          <t>Jamie Smyth:</t>
        </r>
        <r>
          <rPr>
            <sz val="9"/>
            <color indexed="81"/>
            <rFont val="Tahoma"/>
            <family val="2"/>
          </rPr>
          <t xml:space="preserve">
Discectomy is form of spinal decompression. AO: then maybe need to consolidate the groups?</t>
        </r>
      </text>
    </comment>
    <comment ref="Y123" authorId="0" shapeId="0" xr:uid="{393D84C3-17F7-4241-97EC-431DC8B2019C}">
      <text>
        <r>
          <rPr>
            <b/>
            <sz val="9"/>
            <color indexed="81"/>
            <rFont val="Tahoma"/>
            <family val="2"/>
          </rPr>
          <t>Jamie Smyth:</t>
        </r>
        <r>
          <rPr>
            <sz val="9"/>
            <color indexed="81"/>
            <rFont val="Tahoma"/>
            <family val="2"/>
          </rPr>
          <t xml:space="preserve">
LLR Policy for Surgical Intervention for Low Back Pain  </t>
        </r>
      </text>
    </comment>
    <comment ref="AA123" authorId="0" shapeId="0" xr:uid="{D3DE0BD8-378F-40A1-B346-E6CEE1098BB1}">
      <text>
        <r>
          <rPr>
            <b/>
            <sz val="9"/>
            <color indexed="81"/>
            <rFont val="Tahoma"/>
            <family val="2"/>
          </rPr>
          <t>Jamie Smyth:</t>
        </r>
        <r>
          <rPr>
            <sz val="9"/>
            <color indexed="81"/>
            <rFont val="Tahoma"/>
            <family val="2"/>
          </rPr>
          <t xml:space="preserve">
https://www.midandsouthessex.ics.nhs.uk/publications/srp-096-spinal-surgery-for-non-acute-lumbar-conditions/</t>
        </r>
      </text>
    </comment>
    <comment ref="AB123" authorId="0" shapeId="0" xr:uid="{1BA43D1D-273C-45A5-8A86-D75C84281F33}">
      <text>
        <r>
          <rPr>
            <b/>
            <sz val="9"/>
            <color indexed="81"/>
            <rFont val="Tahoma"/>
            <family val="2"/>
          </rPr>
          <t>Jamie Smyth:</t>
        </r>
        <r>
          <rPr>
            <sz val="9"/>
            <color indexed="81"/>
            <rFont val="Tahoma"/>
            <family val="2"/>
          </rPr>
          <t xml:space="preserve">
https://www.midandsouthessex.ics.nhs.uk/publications/srp-096-spinal-surgery-for-non-acute-lumbar-conditions/</t>
        </r>
      </text>
    </comment>
    <comment ref="AE123" authorId="0" shapeId="0" xr:uid="{CDFF4B4D-4C47-4A70-90C0-5B6EB083B43B}">
      <text>
        <r>
          <rPr>
            <b/>
            <sz val="9"/>
            <color indexed="81"/>
            <rFont val="Tahoma"/>
            <family val="2"/>
          </rPr>
          <t>Jamie Smyth:</t>
        </r>
        <r>
          <rPr>
            <sz val="9"/>
            <color indexed="81"/>
            <rFont val="Tahoma"/>
            <family val="2"/>
          </rPr>
          <t xml:space="preserve">
Interventional treatments for back pain   - Page 42</t>
        </r>
      </text>
    </comment>
    <comment ref="AH123" authorId="0" shapeId="0" xr:uid="{8856F17F-29D8-4A4A-9CFD-07FDB684510E}">
      <text>
        <r>
          <rPr>
            <b/>
            <sz val="9"/>
            <color indexed="81"/>
            <rFont val="Tahoma"/>
            <family val="2"/>
          </rPr>
          <t>Jamie Smyth:</t>
        </r>
        <r>
          <rPr>
            <sz val="9"/>
            <color indexed="81"/>
            <rFont val="Tahoma"/>
            <family val="2"/>
          </rPr>
          <t xml:space="preserve">
Discectomy is a form of spinal decompression, also covered on page 96/97. 
AO: "Spinal fusion / Lumbar decompression
Category: (IFR / Prior Approval / Monitored Approval)
Prior Approval" - fusion also a form and is tick?</t>
        </r>
      </text>
    </comment>
    <comment ref="AN123" authorId="0" shapeId="0" xr:uid="{63B6471D-9B33-4152-BE4A-1287C082CA87}">
      <text>
        <r>
          <rPr>
            <b/>
            <sz val="9"/>
            <color indexed="81"/>
            <rFont val="Tahoma"/>
            <family val="2"/>
          </rPr>
          <t>Jamie Smyth:</t>
        </r>
        <r>
          <rPr>
            <sz val="9"/>
            <color indexed="81"/>
            <rFont val="Tahoma"/>
            <family val="2"/>
          </rPr>
          <t xml:space="preserve">
Spinal Surgery for Non-Acute Lumbar Conditions - Page 159</t>
        </r>
      </text>
    </comment>
    <comment ref="AO123" authorId="0" shapeId="0" xr:uid="{9B9D1280-0B68-42AB-9A8C-F8D2DD7CEB83}">
      <text>
        <r>
          <rPr>
            <b/>
            <sz val="9"/>
            <color indexed="81"/>
            <rFont val="Tahoma"/>
            <family val="2"/>
          </rPr>
          <t>Jamie Smyth:</t>
        </r>
        <r>
          <rPr>
            <sz val="9"/>
            <color indexed="81"/>
            <rFont val="Tahoma"/>
            <family val="2"/>
          </rPr>
          <t xml:space="preserve">
Discectomy is a form of spinal decompression</t>
        </r>
      </text>
    </comment>
    <comment ref="AQ123" authorId="0" shapeId="0" xr:uid="{6E148840-5DE7-4AA9-AA56-96FED2BC3A93}">
      <text>
        <r>
          <rPr>
            <b/>
            <sz val="9"/>
            <color indexed="81"/>
            <rFont val="Tahoma"/>
            <family val="2"/>
          </rPr>
          <t>Jamie Smyth:</t>
        </r>
        <r>
          <rPr>
            <sz val="9"/>
            <color indexed="81"/>
            <rFont val="Tahoma"/>
            <family val="2"/>
          </rPr>
          <t xml:space="preserve">
Spinal surgery assessment (11.2024) policy"</t>
        </r>
      </text>
    </comment>
    <comment ref="C124" authorId="389" shapeId="0" xr:uid="{628C19B2-0517-48F7-99D7-A504367586FC}">
      <text>
        <t>[Threaded comment]
Your version of Excel allows you to read this threaded comment; however, any edits to it will get removed if the file is opened in a newer version of Excel. Learn more: https://go.microsoft.com/fwlink/?linkid=870924
Comment:
    IFR - https://bsw.icb.nhs.uk/wp-content/uploads/sites/6/2023/09/BSW-ICB-CP039-Spinal-pain-Neck-and-lower-back.pdf</t>
      </text>
    </comment>
    <comment ref="E124" authorId="390" shapeId="0" xr:uid="{5AE91639-29A6-4216-9E69-AEEC22280237}">
      <text>
        <t>[Threaded comment]
Your version of Excel allows you to read this threaded comment; however, any edits to it will get removed if the file is opened in a newer version of Excel. Learn more: https://go.microsoft.com/fwlink/?linkid=870924
Comment:
    Options not recommended https://www.birminghamsolihull.icb.nhs.uk/application/files/4016/4863/7471/Policy_for_Low_Back_Pain_and_Radicular_Pain.pdf - therefore IFR?</t>
      </text>
    </comment>
    <comment ref="G124" authorId="0" shapeId="0" xr:uid="{331B1628-3932-436F-A5D1-3D3CA9005A7B}">
      <text>
        <r>
          <rPr>
            <b/>
            <sz val="9"/>
            <color indexed="81"/>
            <rFont val="Tahoma"/>
            <family val="2"/>
          </rPr>
          <t>Jamie Smyth:</t>
        </r>
        <r>
          <rPr>
            <sz val="9"/>
            <color indexed="81"/>
            <rFont val="Tahoma"/>
            <family val="2"/>
          </rPr>
          <t xml:space="preserve">
Referral for Assessment for Spinal Surgical Opinion policy. AO unable to find  in document</t>
        </r>
      </text>
    </comment>
    <comment ref="H124" authorId="391" shapeId="0" xr:uid="{B04DA113-3719-4894-A052-7EF142A6B1F3}">
      <text>
        <t>[Threaded comment]
Your version of Excel allows you to read this threaded comment; however, any edits to it will get removed if the file is opened in a newer version of Excel. Learn more: https://go.microsoft.com/fwlink/?linkid=870924
Comment:
    IFR https://www.bucksoxonberksw.icb.nhs.uk/media/4176/bobfpc52-management-of-low-back-pain-and-sciatica.pdf</t>
      </text>
    </comment>
    <comment ref="I124" authorId="392" shapeId="0" xr:uid="{A4031099-141F-4AB7-89D4-8270E21A4D82}">
      <text>
        <t>[Threaded comment]
Your version of Excel allows you to read this threaded comment; however, any edits to it will get removed if the file is opened in a newer version of Excel. Learn more: https://go.microsoft.com/fwlink/?linkid=870924
Comment:
    Low back policy CBA https://www.cpics.org.uk/clinical-policies/</t>
      </text>
    </comment>
    <comment ref="N124" authorId="393" shapeId="0" xr:uid="{DA0C0219-8DFE-485C-B498-EC10CABA00F6}">
      <text>
        <t xml:space="preserve">[Threaded comment]
Your version of Excel allows you to read this threaded comment; however, any edits to it will get removed if the file is opened in a newer version of Excel. Learn more: https://go.microsoft.com/fwlink/?linkid=870924
Comment:
    Not commissioned Fusion surgery for non-specific, mechanical back pain
</t>
      </text>
    </comment>
    <comment ref="R124" authorId="394" shapeId="0" xr:uid="{C420745C-A3DF-4DE4-8300-A0A87ABCD5BC}">
      <text>
        <t>[Threaded comment]
Your version of Excel allows you to read this threaded comment; however, any edits to it will get removed if the file is opened in a newer version of Excel. Learn more: https://go.microsoft.com/fwlink/?linkid=870924
Comment:
    Not comissioned https://nhsgmgmicbsa.blob.core.windows.net/nhsgmgmicbblobstorage/GMEUR/Commissioning%20Statements/NHSGM%20-%20005.pdf</t>
      </text>
    </comment>
    <comment ref="T124" authorId="395" shapeId="0" xr:uid="{478FF769-3086-407F-9D74-B2A280AFD8EA}">
      <text>
        <t>[Threaded comment]
Your version of Excel allows you to read this threaded comment; however, any edits to it will get removed if the file is opened in a newer version of Excel. Learn more: https://go.microsoft.com/fwlink/?linkid=870924
Comment:
    IFR https://www.hwics.org.uk/application/files/2117/0904/4510/ICB_MSK_Surgery_and_Therapy_V1.5_Final_6.pdf</t>
      </text>
    </comment>
    <comment ref="U124" authorId="396" shapeId="0" xr:uid="{6D9AC3D8-95C7-414D-B4D2-A3B25BB7DF71}">
      <text>
        <t>[Threaded comment]
Your version of Excel allows you to read this threaded comment; however, any edits to it will get removed if the file is opened in a newer version of Excel. Learn more: https://go.microsoft.com/fwlink/?linkid=870924
Comment:
    Ref to EBI https://www.hweclinicalguidance.nhs.uk/all-clinical-areas-documents/search-results/injections-and-radiofrequency-denervation-for-non-specific-back-pain/</t>
      </text>
    </comment>
    <comment ref="V124" authorId="397" shapeId="0" xr:uid="{5FABC404-5AFD-4DA0-9EC1-CC74CE2A022A}">
      <text>
        <t>[Threaded comment]
Your version of Excel allows you to read this threaded comment; however, any edits to it will get removed if the file is opened in a newer version of Excel. Learn more: https://go.microsoft.com/fwlink/?linkid=870924
Comment:
    https://humberandnorthyorkshire.icb.nhs.uk/documents-and-publications/commissioning-policies-2/
Reply:
    Under review</t>
      </text>
    </comment>
    <comment ref="AA124" authorId="398" shapeId="0" xr:uid="{16E5EAC8-9F28-4F15-A1A5-7B99C190A664}">
      <text>
        <t xml:space="preserve">[Threaded comment]
Your version of Excel allows you to read this threaded comment; however, any edits to it will get removed if the file is opened in a newer version of Excel. Learn more: https://go.microsoft.com/fwlink/?linkid=870924
Comment:
    IFR “Do not offer spinal fusion for people with low back pain unless as part of a randomised controlled trial.  ” https://www.midandsouthessex.ics.nhs.uk/publications/srp-096-spinal-surgery-for-non-acute-lumbar-conditions/ </t>
      </text>
    </comment>
    <comment ref="AF124" authorId="399" shapeId="0" xr:uid="{20517B6A-E660-45E9-801F-226EE86BE89E}">
      <text>
        <t>[Threaded comment]
Your version of Excel allows you to read this threaded comment; however, any edits to it will get removed if the file is opened in a newer version of Excel. Learn more: https://go.microsoft.com/fwlink/?linkid=870924
Comment:
    https://www.nwlondonicb.nhs.uk/application/files/7416/7664/3313/Low_Back_Pain_and_Sciatica_Policy_v7.pdf IFR</t>
      </text>
    </comment>
    <comment ref="AM124" authorId="400" shapeId="0" xr:uid="{BF182CB3-7389-4096-8247-A1F4B5E0AF2C}">
      <text>
        <t>[Threaded comment]
Your version of Excel allows you to read this threaded comment; however, any edits to it will get removed if the file is opened in a newer version of Excel. Learn more: https://go.microsoft.com/fwlink/?linkid=870924
Comment:
    Tick - Spinal fusion https://staffsstoke.icb.nhs.uk/your-nhs-integrated-care-board/our-publications/governance-handbook/all-policies/commissioning/icb-excluded-and-restricted-procedures-policy-v3-1/?layout=file</t>
      </text>
    </comment>
    <comment ref="AN124" authorId="401" shapeId="0" xr:uid="{3937158A-7618-4D15-BB3E-DDC18B4A10F9}">
      <text>
        <t>[Threaded comment]
Your version of Excel allows you to read this threaded comment; however, any edits to it will get removed if the file is opened in a newer version of Excel. Learn more: https://go.microsoft.com/fwlink/?linkid=870924
Comment:
    IFR “Spinal fusion for chronic low back pain should only be offered as part of a randomised controlled trial (NICE, 2016). ” https://suffolkandnortheastessex.icb.nhs.uk/about-us/our-policies/</t>
      </text>
    </comment>
    <comment ref="K125" authorId="0" shapeId="0" xr:uid="{B34BFA76-148A-4991-ACCA-5DA22ED9A889}">
      <text>
        <r>
          <rPr>
            <b/>
            <sz val="9"/>
            <color indexed="81"/>
            <rFont val="Tahoma"/>
            <family val="2"/>
          </rPr>
          <t>Jamie Smyth:</t>
        </r>
        <r>
          <rPr>
            <sz val="9"/>
            <color indexed="81"/>
            <rFont val="Tahoma"/>
            <family val="2"/>
          </rPr>
          <t xml:space="preserve">
Surgical correction of strabismus or amblyopia in adults commissioned with criteria</t>
        </r>
      </text>
    </comment>
    <comment ref="Q125" authorId="0" shapeId="0" xr:uid="{32E7BCAF-673C-41CE-84C3-9A23185EB800}">
      <text>
        <r>
          <rPr>
            <b/>
            <sz val="9"/>
            <color indexed="81"/>
            <rFont val="Tahoma"/>
            <family val="2"/>
          </rPr>
          <t>Jamie Smyth:</t>
        </r>
        <r>
          <rPr>
            <sz val="9"/>
            <color indexed="81"/>
            <rFont val="Tahoma"/>
            <family val="2"/>
          </rPr>
          <t xml:space="preserve">
Surgical correction or therapeutic intervention to correct Strabismus in Adults policy</t>
        </r>
      </text>
    </comment>
    <comment ref="U125" authorId="0" shapeId="0" xr:uid="{55974F49-45CE-41B6-9161-5A957EAC3B60}">
      <text>
        <r>
          <rPr>
            <b/>
            <sz val="9"/>
            <color indexed="81"/>
            <rFont val="Tahoma"/>
            <family val="2"/>
          </rPr>
          <t>Jamie Smyth:</t>
        </r>
        <r>
          <rPr>
            <sz val="9"/>
            <color indexed="81"/>
            <rFont val="Tahoma"/>
            <family val="2"/>
          </rPr>
          <t xml:space="preserve">
Can't find mention of Specific policies</t>
        </r>
      </text>
    </comment>
    <comment ref="D126" authorId="0" shapeId="0" xr:uid="{F8E181E2-E862-4647-A76C-23C0257E8FA1}">
      <text>
        <r>
          <rPr>
            <b/>
            <sz val="9"/>
            <color indexed="81"/>
            <rFont val="Tahoma"/>
            <family val="2"/>
          </rPr>
          <t>Jamie Smyth:</t>
        </r>
        <r>
          <rPr>
            <sz val="9"/>
            <color indexed="81"/>
            <rFont val="Tahoma"/>
            <family val="2"/>
          </rPr>
          <t xml:space="preserve">
Criteria given for removal of asympatic cholelithiasis under prophylactic cholecystectomy</t>
        </r>
      </text>
    </comment>
    <comment ref="E126" authorId="402" shapeId="0" xr:uid="{F3A27804-8629-4932-8600-9586CC934569}">
      <text>
        <t>[Threaded comment]
Your version of Excel allows you to read this threaded comment; however, any edits to it will get removed if the file is opened in a newer version of Excel. Learn more: https://go.microsoft.com/fwlink/?linkid=870924
Comment:
    No reference to asymptomatic? Therefore n/a? https://www.birminghamsolihull.icb.nhs.uk/application/files/1516/4872/4263/Cholecystectomy.pdf</t>
      </text>
    </comment>
    <comment ref="F126" authorId="0" shapeId="0" xr:uid="{6261B2CE-171D-49AF-8E61-96B1D13EC292}">
      <text>
        <r>
          <rPr>
            <b/>
            <sz val="9"/>
            <color indexed="81"/>
            <rFont val="Tahoma"/>
            <family val="2"/>
          </rPr>
          <t>Jamie Smyth:</t>
        </r>
        <r>
          <rPr>
            <sz val="9"/>
            <color indexed="81"/>
            <rFont val="Tahoma"/>
            <family val="2"/>
          </rPr>
          <t xml:space="preserve">
Cholecystectomy policy</t>
        </r>
      </text>
    </comment>
    <comment ref="G126" authorId="0" shapeId="0" xr:uid="{12FFB9CE-A335-403B-86C9-1195448555CA}">
      <text>
        <r>
          <rPr>
            <b/>
            <sz val="9"/>
            <color indexed="81"/>
            <rFont val="Tahoma"/>
            <family val="2"/>
          </rPr>
          <t>Jamie Smyth:</t>
        </r>
        <r>
          <rPr>
            <sz val="9"/>
            <color indexed="81"/>
            <rFont val="Tahoma"/>
            <family val="2"/>
          </rPr>
          <t xml:space="preserve">
Page 2 of Gallbladder Removal in Patients 18 years and over policy</t>
        </r>
      </text>
    </comment>
    <comment ref="Q126" authorId="403" shapeId="0" xr:uid="{357A8FF9-1254-4A55-B0DE-88267A8B505E}">
      <text>
        <t>[Threaded comment]
Your version of Excel allows you to read this threaded comment; however, any edits to it will get removed if the file is opened in a newer version of Excel. Learn more: https://go.microsoft.com/fwlink/?linkid=870924
Comment:
    Unable to find ref</t>
      </text>
    </comment>
    <comment ref="R126" authorId="0" shapeId="0" xr:uid="{9B39C454-F44B-4E39-B40F-6C03A9E1E1B6}">
      <text>
        <r>
          <rPr>
            <b/>
            <sz val="9"/>
            <color indexed="81"/>
            <rFont val="Tahoma"/>
            <family val="2"/>
          </rPr>
          <t>Jamie Smyth:</t>
        </r>
        <r>
          <rPr>
            <sz val="9"/>
            <color indexed="81"/>
            <rFont val="Tahoma"/>
            <family val="2"/>
          </rPr>
          <t xml:space="preserve">
Gallstones (asymptomatic)  Commissioning Statement 
</t>
        </r>
      </text>
    </comment>
    <comment ref="T126" authorId="0" shapeId="0" xr:uid="{4606B6C0-086B-4E12-A847-499D170BD9E4}">
      <text>
        <r>
          <rPr>
            <b/>
            <sz val="9"/>
            <color indexed="81"/>
            <rFont val="Tahoma"/>
            <family val="2"/>
          </rPr>
          <t>Jamie Smyth:</t>
        </r>
        <r>
          <rPr>
            <sz val="9"/>
            <color indexed="81"/>
            <rFont val="Tahoma"/>
            <family val="2"/>
          </rPr>
          <t xml:space="preserve">
Management of Gallstone Disease and Gallbladder Pathology Commissioning Policy - Criteria based approval</t>
        </r>
      </text>
    </comment>
    <comment ref="U126" authorId="0" shapeId="0" xr:uid="{2EE59855-115C-4998-A291-00A64CECADAC}">
      <text>
        <r>
          <rPr>
            <b/>
            <sz val="9"/>
            <color indexed="81"/>
            <rFont val="Tahoma"/>
            <family val="2"/>
          </rPr>
          <t>Jamie Smyth:</t>
        </r>
        <r>
          <rPr>
            <sz val="9"/>
            <color indexed="81"/>
            <rFont val="Tahoma"/>
            <family val="2"/>
          </rPr>
          <t xml:space="preserve">
https://www.hweclinicalguidance.nhs.uk/clinical-policies/cholecystectomy/. "Prophylactic cholecystectomy for patients with silent (asymptomatic) gallstones will only be funded if the patient also has at least one of the following criteria:" - TICK https://www.hweclinicalguidance.nhs.uk/all-clinical-areas-documents/search-results/cholecystectomy/</t>
        </r>
      </text>
    </comment>
    <comment ref="V126" authorId="0" shapeId="0" xr:uid="{445AF531-A047-46DC-8926-45697A96459E}">
      <text>
        <r>
          <rPr>
            <b/>
            <sz val="9"/>
            <color indexed="81"/>
            <rFont val="Tahoma"/>
            <family val="2"/>
          </rPr>
          <t>Jamie Smyth:</t>
        </r>
        <r>
          <rPr>
            <sz val="9"/>
            <color indexed="81"/>
            <rFont val="Tahoma"/>
            <family val="2"/>
          </rPr>
          <t xml:space="preserve">
Can't find mention of Specific policies. AO "The majority of people with gallbladder stones remain asymptomatic and require no treatment. Patients with an incidental finding of stones in an otherwise normal gallbladder require no further investigation or referral." Therefore IFR https://humberandnorthyorkshire.icb.nhs.uk/wp-content/uploads/2025/04/099-Cholecystectomy.docx</t>
        </r>
      </text>
    </comment>
    <comment ref="AC126" authorId="404" shapeId="0" xr:uid="{38395C72-97CF-40C8-93D0-8576562057F0}">
      <text>
        <t>[Threaded comment]
Your version of Excel allows you to read this threaded comment; however, any edits to it will get removed if the file is opened in a newer version of Excel. Learn more: https://go.microsoft.com/fwlink/?linkid=870924
Comment:
    Tick “NCL ICB will not routinely fund cholecystectomy for asymptomatic gallstones found in a normal gallbladder and normal biliary tree. An exception to this would be where the patient is asymptomatic NCL EBICS Policy V9.2 41 but also has diabetes, chroni ” https://nclhealthandcare.org.uk/wp-content/uploads/2024/02/NCL-EBICS-Policy-v9.2-2.pdf</t>
      </text>
    </comment>
    <comment ref="AD126" authorId="405" shapeId="0" xr:uid="{DCFDE000-F8D3-4624-A4D4-F883B74B265A}">
      <text>
        <t>[Threaded comment]
Your version of Excel allows you to read this threaded comment; however, any edits to it will get removed if the file is opened in a newer version of Excel. Learn more: https://go.microsoft.com/fwlink/?linkid=870924
Comment:
    Says prior approval but written description appears IFR https://northeastnorthcumbria.nhs.uk/media/dimlerzs/value-based-clinical-commissioning-policy.pdf</t>
      </text>
    </comment>
    <comment ref="AJ126" authorId="406" shapeId="0" xr:uid="{3DA28613-24E6-425D-ABFD-117A5DA25AAC}">
      <text>
        <t>[Threaded comment]
Your version of Excel allows you to read this threaded comment; however, any edits to it will get removed if the file is opened in a newer version of Excel. Learn more: https://go.microsoft.com/fwlink/?linkid=870924
Comment:
    Criteria https://nhssomerset.nhs.uk/wp-content/uploads/sites/2/Laparoscopic-Cholecystectomy-Asymptomatic-Gall-Stones-Policy-CBA-2425.v2c-20240705.pdf</t>
      </text>
    </comment>
    <comment ref="AK126" authorId="407" shapeId="0" xr:uid="{43B7BC66-956C-4BEB-B278-0E8308FFAEA9}">
      <text>
        <t>[Threaded comment]
Your version of Excel allows you to read this threaded comment; however, any edits to it will get removed if the file is opened in a newer version of Excel. Learn more: https://go.microsoft.com/fwlink/?linkid=870924
Comment:
    “Asymptomatic gallstones ” “No longer needing to be referenced in TAP ” “If a particular procedure/approach is not listed within local policies then it is not commissioned and not available. ”</t>
      </text>
    </comment>
    <comment ref="AL126" authorId="0" shapeId="0" xr:uid="{8354D301-AFA7-4BAE-B1B3-AF0BF0AB6AB7}">
      <text>
        <r>
          <rPr>
            <b/>
            <sz val="9"/>
            <color indexed="81"/>
            <rFont val="Tahoma"/>
            <family val="2"/>
          </rPr>
          <t>Jamie Smyth:</t>
        </r>
        <r>
          <rPr>
            <sz val="9"/>
            <color indexed="81"/>
            <rFont val="Tahoma"/>
            <family val="2"/>
          </rPr>
          <t xml:space="preserve">
Page 36/37 - The SY ICB will only support the funding of cholecystectomy in mild or asymptomatic gallstones if one or more of the following criteria are met:</t>
        </r>
      </text>
    </comment>
    <comment ref="D127" authorId="0" shapeId="0" xr:uid="{3342059B-3B0E-4594-A21A-66317C40C402}">
      <text>
        <r>
          <rPr>
            <b/>
            <sz val="9"/>
            <color indexed="81"/>
            <rFont val="Tahoma"/>
            <family val="2"/>
          </rPr>
          <t>Jamie Smyth:</t>
        </r>
        <r>
          <rPr>
            <sz val="9"/>
            <color indexed="81"/>
            <rFont val="Tahoma"/>
            <family val="2"/>
          </rPr>
          <t xml:space="preserve">
Can't find this in a policy</t>
        </r>
      </text>
    </comment>
    <comment ref="G127" authorId="0" shapeId="0" xr:uid="{F6BB4C8D-F9F8-4EAE-A589-2D6D01ADF675}">
      <text>
        <r>
          <rPr>
            <b/>
            <sz val="9"/>
            <color indexed="81"/>
            <rFont val="Tahoma"/>
            <family val="2"/>
          </rPr>
          <t>Jamie Smyth:</t>
        </r>
        <r>
          <rPr>
            <sz val="9"/>
            <color indexed="81"/>
            <rFont val="Tahoma"/>
            <family val="2"/>
          </rPr>
          <t xml:space="preserve">
Female Genitalial Surgery policy - " Chronically symptomatic Bartholin Cyst is routinely funded."</t>
        </r>
      </text>
    </comment>
    <comment ref="Q127" authorId="0" shapeId="0" xr:uid="{4AC90E75-01A5-4FAF-9C54-7FE58CEF1A73}">
      <text>
        <r>
          <rPr>
            <b/>
            <sz val="9"/>
            <color indexed="81"/>
            <rFont val="Tahoma"/>
            <family val="2"/>
          </rPr>
          <t>Jamie Smyth:</t>
        </r>
        <r>
          <rPr>
            <sz val="9"/>
            <color indexed="81"/>
            <rFont val="Tahoma"/>
            <family val="2"/>
          </rPr>
          <t xml:space="preserve">
Can't find mention of Bartholin cyst policies</t>
        </r>
      </text>
    </comment>
    <comment ref="R127" authorId="0" shapeId="0" xr:uid="{C6A5C98D-A611-4C56-A8F3-147E05F4EA98}">
      <text>
        <r>
          <rPr>
            <b/>
            <sz val="9"/>
            <color indexed="81"/>
            <rFont val="Tahoma"/>
            <family val="2"/>
          </rPr>
          <t>Jamie Smyth:</t>
        </r>
        <r>
          <rPr>
            <sz val="9"/>
            <color indexed="81"/>
            <rFont val="Tahoma"/>
            <family val="2"/>
          </rPr>
          <t xml:space="preserve">
Can't find mention of Bartholin cyst policies</t>
        </r>
      </text>
    </comment>
    <comment ref="U127" authorId="0" shapeId="0" xr:uid="{5D7E42CE-0539-4415-9065-6A88A9EB01FC}">
      <text>
        <r>
          <rPr>
            <b/>
            <sz val="9"/>
            <color indexed="81"/>
            <rFont val="Tahoma"/>
            <family val="2"/>
          </rPr>
          <t>Jamie Smyth:</t>
        </r>
        <r>
          <rPr>
            <sz val="9"/>
            <color indexed="81"/>
            <rFont val="Tahoma"/>
            <family val="2"/>
          </rPr>
          <t xml:space="preserve">
Can't find mention of Specific policies</t>
        </r>
      </text>
    </comment>
    <comment ref="F128" authorId="408" shapeId="0" xr:uid="{219EA60C-354E-44E1-8ED7-BD4144A5EAC4}">
      <text>
        <t xml:space="preserve">[Threaded comment]
Your version of Excel allows you to read this threaded comment; however, any edits to it will get removed if the file is opened in a newer version of Excel. Learn more: https://go.microsoft.com/fwlink/?linkid=870924
Comment:
    Surgical Intervention for Benign Prostatic Hyperplasia (BPH)
EBI https://blackcountry.icb.nhs.uk/have-your-say/get-involved/current-consultations-and-engagement/clinical-policy-review2 A condition where, as people with a prostate grow older, the prostate gland becomes larger. It can cause urinary symptoms, and in a small number of cases surgery maybe needed.
</t>
      </text>
    </comment>
    <comment ref="G128" authorId="409" shapeId="0" xr:uid="{26F727C3-A89F-411A-87F9-A62AF65BAC00}">
      <text>
        <t>[Threaded comment]
Your version of Excel allows you to read this threaded comment; however, any edits to it will get removed if the file is opened in a newer version of Excel. Learn more: https://go.microsoft.com/fwlink/?linkid=870924
Comment:
    Unable to find</t>
      </text>
    </comment>
    <comment ref="J128" authorId="410" shapeId="0" xr:uid="{ECAB82DF-C449-4EF4-BB27-58E6CD16C2C8}">
      <text>
        <t>[Threaded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https://www.cheshireandmerseyside.nhs.uk/media/j2pfupcs/pol-clin107-benign-prostatic-hyperplasia-related-bladder-final-v03.pdf</t>
      </text>
    </comment>
    <comment ref="T128" authorId="411" shapeId="0" xr:uid="{E14C6FB7-0D9D-48FE-82C9-C869D3E801C7}">
      <text>
        <t>[Threaded comment]
Your version of Excel allows you to read this threaded comment; however, any edits to it will get removed if the file is opened in a newer version of Excel. Learn more: https://go.microsoft.com/fwlink/?linkid=870924
Comment:
    Tick https://www.hwics.org.uk/application/files/8917/1949/3723/ICB_Benign_Prostatic_Hyperplasia_v1.3.pdf</t>
      </text>
    </comment>
    <comment ref="AC128" authorId="412" shapeId="0" xr:uid="{E0240E9A-758D-4068-AE77-D889A0F7B91F}">
      <text>
        <t>[Threaded comment]
Your version of Excel allows you to read this threaded comment; however, any edits to it will get removed if the file is opened in a newer version of Excel. Learn more: https://go.microsoft.com/fwlink/?linkid=870924
Comment:
    Tick “Benign prostatic hyperplasia – Surgical intervention for ”</t>
      </text>
    </comment>
    <comment ref="AM128" authorId="413" shapeId="0" xr:uid="{1727B747-3FE5-4125-B5AD-ED90ABB839BD}">
      <text>
        <t>[Threaded comment]
Your version of Excel allows you to read this threaded comment; however, any edits to it will get removed if the file is opened in a newer version of Excel. Learn more: https://go.microsoft.com/fwlink/?linkid=870924
Comment:
    Unable to find ref</t>
      </text>
    </comment>
    <comment ref="AQ128" authorId="414" shapeId="0" xr:uid="{470E88FB-8788-47CA-9CBB-E5F7BC53F7E1}">
      <text>
        <t>[Threaded comment]
Your version of Excel allows you to read this threaded comment; however, any edits to it will get removed if the file is opened in a newer version of Excel. Learn more: https://go.microsoft.com/fwlink/?linkid=870924
Comment:
    Tick - “Bladder Outflow Obstruction (BOO) (surgical intervention) (11.2024) - This is an updated Evidence Based Interventions Policy. For details please see the Evidence Based Interventions guidance ” https://www.westyorkshire.icb.nhs.uk/documents/commissioning-policies</t>
      </text>
    </comment>
    <comment ref="F129" authorId="0" shapeId="0" xr:uid="{ED0E024E-FDDE-4983-8E4F-CEB3A7002493}">
      <text>
        <r>
          <rPr>
            <b/>
            <sz val="9"/>
            <color indexed="81"/>
            <rFont val="Tahoma"/>
            <family val="2"/>
          </rPr>
          <t>Jamie Smyth:</t>
        </r>
        <r>
          <rPr>
            <sz val="9"/>
            <color indexed="81"/>
            <rFont val="Tahoma"/>
            <family val="2"/>
          </rPr>
          <t xml:space="preserve">
Carpal Tunnel policy</t>
        </r>
      </text>
    </comment>
    <comment ref="AA129" authorId="0" shapeId="0" xr:uid="{25500F91-2E04-4903-99A5-32035578A9AF}">
      <text>
        <r>
          <rPr>
            <b/>
            <sz val="9"/>
            <color indexed="81"/>
            <rFont val="Tahoma"/>
            <family val="2"/>
          </rPr>
          <t>Jamie Smyth:</t>
        </r>
        <r>
          <rPr>
            <sz val="9"/>
            <color indexed="81"/>
            <rFont val="Tahoma"/>
            <family val="2"/>
          </rPr>
          <t xml:space="preserve">
https://www.midandsouthessex.ics.nhs.uk/publications/srp-032-carpal-tunnel/</t>
        </r>
      </text>
    </comment>
    <comment ref="B130" authorId="5" shapeId="0" xr:uid="{6AB815DC-A8AF-4F01-A481-BF140B3BB0EC}">
      <text>
        <r>
          <rPr>
            <b/>
            <sz val="9"/>
            <color indexed="81"/>
            <rFont val="Tahoma"/>
            <family val="2"/>
          </rPr>
          <t>Ogier, Anna S:</t>
        </r>
        <r>
          <rPr>
            <sz val="9"/>
            <color indexed="81"/>
            <rFont val="Tahoma"/>
            <family val="2"/>
          </rPr>
          <t xml:space="preserve">
Open is routinely funded, closed is not.</t>
        </r>
      </text>
    </comment>
    <comment ref="E130" authorId="415" shapeId="0" xr:uid="{4D0366DF-FE14-444F-A11E-AAF7EABB736B}">
      <text>
        <t>[Threaded comment]
Your version of Excel allows you to read this threaded comment; however, any edits to it will get removed if the file is opened in a newer version of Excel. Learn more: https://go.microsoft.com/fwlink/?linkid=870924
Comment:
    Policy link not valid https://www.birminghamsolihull.icb.nhs.uk/health-information-and-advice/policies/ear-nose-and-throat</t>
      </text>
    </comment>
    <comment ref="F130" authorId="0" shapeId="0" xr:uid="{DF93538B-6479-4066-B4FB-3595DBCEB0A0}">
      <text>
        <r>
          <rPr>
            <b/>
            <sz val="9"/>
            <color indexed="81"/>
            <rFont val="Tahoma"/>
            <family val="2"/>
          </rPr>
          <t>Jamie Smyth:</t>
        </r>
        <r>
          <rPr>
            <sz val="9"/>
            <color indexed="81"/>
            <rFont val="Tahoma"/>
            <family val="2"/>
          </rPr>
          <t xml:space="preserve">
Covered under Tonsillectomy policy</t>
        </r>
      </text>
    </comment>
    <comment ref="G130" authorId="416" shapeId="0" xr:uid="{FD2CAF34-3FF2-41EA-AD43-14CFC9FBBFB6}">
      <text>
        <t xml:space="preserve">[Threaded comment]
Your version of Excel allows you to read this threaded comment; however, any edits to it will get removed if the file is opened in a newer version of Excel. Learn more: https://go.microsoft.com/fwlink/?linkid=870924
Comment:
    Unable to find
</t>
      </text>
    </comment>
    <comment ref="I130" authorId="5" shapeId="0" xr:uid="{1BF97589-56E0-4386-9E58-06FE889DE764}">
      <text>
        <r>
          <rPr>
            <b/>
            <sz val="9"/>
            <color indexed="81"/>
            <rFont val="Tahoma"/>
            <family val="2"/>
          </rPr>
          <t>Ogier, Anna S:</t>
        </r>
        <r>
          <rPr>
            <sz val="9"/>
            <color indexed="81"/>
            <rFont val="Tahoma"/>
            <family val="2"/>
          </rPr>
          <t xml:space="preserve">
Nasal Surgery for Obstruction or Deformity policy refs this condition</t>
        </r>
      </text>
    </comment>
    <comment ref="T130" authorId="417" shapeId="0" xr:uid="{77D660C6-0823-42D3-9E05-BDB666C78626}">
      <text>
        <t>[Threaded comment]
Your version of Excel allows you to read this threaded comment; however, any edits to it will get removed if the file is opened in a newer version of Excel. Learn more: https://go.microsoft.com/fwlink/?linkid=870924
Comment:
    Part of adenoid treatment
Reply:
    Also separate policy tick https://www.hwics.org.uk/application/files/8116/9883/2258/ICB_Chronic_Rhinosinusitis_Position_Statement_v1.3.pdf</t>
      </text>
    </comment>
    <comment ref="U130" authorId="418" shapeId="0" xr:uid="{7F0E37FB-E75C-45E2-A32D-DC593CBE615A}">
      <text>
        <t>[Threaded comment]
Your version of Excel allows you to read this threaded comment; however, any edits to it will get removed if the file is opened in a newer version of Excel. Learn more: https://go.microsoft.com/fwlink/?linkid=870924
Comment:
    Part of rhinoplasty https://www.hweclinicalguidance.nhs.uk/all-clinical-areas-documents/search-results/nasal-surgery/</t>
      </text>
    </comment>
    <comment ref="V130" authorId="419" shapeId="0" xr:uid="{77976EED-CEA6-4E0F-89ED-9CE14CDFF9CC}">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https://humberandnorthyorkshire.icb.nhs.uk/wp-content/uploads/2025/04/093-Endoscopic-sinus-surgery-for-chronic-rhinosinusitis.docx</t>
      </text>
    </comment>
    <comment ref="F131" authorId="0" shapeId="0" xr:uid="{234BA047-EA45-430D-8167-B2F039772D88}">
      <text>
        <r>
          <rPr>
            <b/>
            <sz val="9"/>
            <color indexed="81"/>
            <rFont val="Tahoma"/>
            <family val="2"/>
          </rPr>
          <t>Jamie Smyth:</t>
        </r>
        <r>
          <rPr>
            <sz val="9"/>
            <color indexed="81"/>
            <rFont val="Tahoma"/>
            <family val="2"/>
          </rPr>
          <t xml:space="preserve">
Duypuytren's Policy</t>
        </r>
      </text>
    </comment>
    <comment ref="G131" authorId="0" shapeId="0" xr:uid="{7AEA4C23-A7AD-4521-96B8-74C480E1ED7E}">
      <text>
        <r>
          <rPr>
            <b/>
            <sz val="9"/>
            <color indexed="81"/>
            <rFont val="Tahoma"/>
            <family val="2"/>
          </rPr>
          <t>Jamie Smyth:</t>
        </r>
        <r>
          <rPr>
            <sz val="9"/>
            <color indexed="81"/>
            <rFont val="Tahoma"/>
            <family val="2"/>
          </rPr>
          <t xml:space="preserve">
Dupuytren’s Contracture Release In Adults policy</t>
        </r>
      </text>
    </comment>
    <comment ref="J131" authorId="0" shapeId="0" xr:uid="{9CC368EA-9B3C-46BF-8FAA-C4996A0C1E07}">
      <text>
        <r>
          <rPr>
            <b/>
            <sz val="9"/>
            <color indexed="81"/>
            <rFont val="Tahoma"/>
            <family val="2"/>
          </rPr>
          <t>Jamie Smyth:</t>
        </r>
        <r>
          <rPr>
            <sz val="9"/>
            <color indexed="81"/>
            <rFont val="Tahoma"/>
            <family val="2"/>
          </rPr>
          <t xml:space="preserve">
Dupuytren's Contracture Release in Adults Policy</t>
        </r>
      </text>
    </comment>
    <comment ref="AA131" authorId="0" shapeId="0" xr:uid="{98433CE0-0F7C-4F4A-B4FC-4865CE05E4FE}">
      <text>
        <r>
          <rPr>
            <b/>
            <sz val="9"/>
            <color indexed="81"/>
            <rFont val="Tahoma"/>
            <family val="2"/>
          </rPr>
          <t>Jamie Smyth:</t>
        </r>
        <r>
          <rPr>
            <sz val="9"/>
            <color indexed="81"/>
            <rFont val="Tahoma"/>
            <family val="2"/>
          </rPr>
          <t xml:space="preserve">
https://www.midandsouthessex.ics.nhs.uk/publications/srp-040-dupuytrens-contracture-in-adults/</t>
        </r>
      </text>
    </comment>
    <comment ref="AG131" authorId="0" shapeId="0" xr:uid="{7BF9B4EB-B1D8-47C9-9245-A4DD7579101C}">
      <text>
        <r>
          <rPr>
            <b/>
            <sz val="9"/>
            <color indexed="81"/>
            <rFont val="Tahoma"/>
            <family val="2"/>
          </rPr>
          <t>Jamie Smyth:</t>
        </r>
        <r>
          <rPr>
            <sz val="9"/>
            <color indexed="81"/>
            <rFont val="Tahoma"/>
            <family val="2"/>
          </rPr>
          <t xml:space="preserve">
https://www.icnorthamptonshire.org.uk/documents?media_item=20639&amp;media_type=10#file-viewer</t>
        </r>
      </text>
    </comment>
    <comment ref="J132" authorId="420" shapeId="0" xr:uid="{4C889B68-99A8-4DD2-AA10-0DCF57DCE39C}">
      <text>
        <t>[Threaded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https://www.cheshireandmerseyside.nhs.uk/media/f1cprjg2/pol-cmicb_clin095-vaginal-uterovaginal-prolapse-surgical-management-final-v03.pdf</t>
      </text>
    </comment>
    <comment ref="M132" authorId="421" shapeId="0" xr:uid="{273D1BD4-A049-43B8-8B6D-9187DCFC61ED}">
      <text>
        <t>[Threaded comment]
Your version of Excel allows you to read this threaded comment; however, any edits to it will get removed if the file is opened in a newer version of Excel. Learn more: https://go.microsoft.com/fwlink/?linkid=870924
Comment:
    IFR https://www.derbyshiremedicinesmanagement.nhs.uk/assets/Clinical-Policies/Clinical_Policies/PLCV/gynae_and_fertility/Vaginal_Synthetic_Mesh.pdf</t>
      </text>
    </comment>
    <comment ref="Q132" authorId="422" shapeId="0" xr:uid="{FD72D3CC-7EB4-4BE1-BD5E-3738F5B301B4}">
      <text>
        <t>[Threaded comment]
Your version of Excel allows you to read this threaded comment; however, any edits to it will get removed if the file is opened in a newer version of Excel. Learn more: https://go.microsoft.com/fwlink/?linkid=870924
Comment:
    Cannot find</t>
      </text>
    </comment>
    <comment ref="U132" authorId="0" shapeId="0" xr:uid="{919AC8D8-7E45-48C2-B2D2-19A5639AD45F}">
      <text>
        <r>
          <rPr>
            <b/>
            <sz val="9"/>
            <color indexed="81"/>
            <rFont val="Tahoma"/>
            <family val="2"/>
          </rPr>
          <t>Jamie Smyth:</t>
        </r>
        <r>
          <rPr>
            <sz val="9"/>
            <color indexed="81"/>
            <rFont val="Tahoma"/>
            <family val="2"/>
          </rPr>
          <t xml:space="preserve">
Can't find mention of Specific policies. AO: https://www.hweclinicalguidance.nhs.uk/all-clinical-areas-documents/search-results/urogynaecology-female-incontinence-and-prolapse/ tick </t>
        </r>
      </text>
    </comment>
    <comment ref="AA132" authorId="0" shapeId="0" xr:uid="{945CE340-84F1-4284-AF6F-46ECDFCB3071}">
      <text>
        <r>
          <rPr>
            <b/>
            <sz val="9"/>
            <color indexed="81"/>
            <rFont val="Tahoma"/>
            <family val="2"/>
          </rPr>
          <t>Jamie Smyth:</t>
        </r>
        <r>
          <rPr>
            <sz val="9"/>
            <color indexed="81"/>
            <rFont val="Tahoma"/>
            <family val="2"/>
          </rPr>
          <t xml:space="preserve">
https://www.midandsouthessex.ics.nhs.uk/publications/srp-107-vaginal-vault-uterine-prolapse/</t>
        </r>
      </text>
    </comment>
    <comment ref="G133" authorId="423" shapeId="0" xr:uid="{74553C42-45EB-4F0E-B3E5-057F685D423A}">
      <text>
        <t>[Threaded comment]
Your version of Excel allows you to read this threaded comment; however, any edits to it will get removed if the file is opened in a newer version of Excel. Learn more: https://go.microsoft.com/fwlink/?linkid=870924
Comment:
    Only ref is this but seems they do fund but unclear what criteria is https://bnssghealthiertogether.org.uk/library/foi-icb-2324-211-grommet-waiting-lists-and-surgeries/</t>
      </text>
    </comment>
    <comment ref="I133" authorId="0" shapeId="0" xr:uid="{B2C8E980-C2EB-495D-B2FB-18119CC5A74F}">
      <text>
        <r>
          <rPr>
            <b/>
            <sz val="9"/>
            <color indexed="81"/>
            <rFont val="Tahoma"/>
            <family val="2"/>
          </rPr>
          <t>Jamie Smyth:</t>
        </r>
        <r>
          <rPr>
            <sz val="9"/>
            <color indexed="81"/>
            <rFont val="Tahoma"/>
            <family val="2"/>
          </rPr>
          <t xml:space="preserve">
Surgical treatment of Otitis Media policy</t>
        </r>
      </text>
    </comment>
    <comment ref="N133" authorId="0" shapeId="0" xr:uid="{A4633B5C-6016-434F-B1FB-554EDE5A0D14}">
      <text>
        <r>
          <rPr>
            <b/>
            <sz val="9"/>
            <color indexed="81"/>
            <rFont val="Tahoma"/>
            <family val="2"/>
          </rPr>
          <t>Jamie Smyth:</t>
        </r>
        <r>
          <rPr>
            <sz val="9"/>
            <color indexed="81"/>
            <rFont val="Tahoma"/>
            <family val="2"/>
          </rPr>
          <t xml:space="preserve">
Myringotomy with or without ventilation tubes (grommets) in adults and children aged 12 years and older policy</t>
        </r>
      </text>
    </comment>
    <comment ref="O133" authorId="0" shapeId="0" xr:uid="{815560A3-BEBB-43AE-A882-A9CFA2C5A789}">
      <text>
        <r>
          <rPr>
            <b/>
            <sz val="9"/>
            <color indexed="81"/>
            <rFont val="Tahoma"/>
            <family val="2"/>
          </rPr>
          <t>Jamie Smyth:</t>
        </r>
        <r>
          <rPr>
            <sz val="9"/>
            <color indexed="81"/>
            <rFont val="Tahoma"/>
            <family val="2"/>
          </rPr>
          <t xml:space="preserve">
Can't find mention of lid surgery policies</t>
        </r>
      </text>
    </comment>
    <comment ref="Q133" authorId="424" shapeId="0" xr:uid="{5C8D9BCB-BD8B-4E62-B94A-81EB7AF5C04C}">
      <text>
        <t>[Threaded comment]
Your version of Excel allows you to read this threaded comment; however, any edits to it will get removed if the file is opened in a newer version of Excel. Learn more: https://go.microsoft.com/fwlink/?linkid=870924
Comment:
    Cannot find</t>
      </text>
    </comment>
    <comment ref="R133" authorId="0" shapeId="0" xr:uid="{B4D8A918-15BC-427D-B964-1C70DB85254D}">
      <text>
        <r>
          <rPr>
            <b/>
            <sz val="9"/>
            <color indexed="81"/>
            <rFont val="Tahoma"/>
            <family val="2"/>
          </rPr>
          <t>Jamie Smyth:</t>
        </r>
        <r>
          <rPr>
            <sz val="9"/>
            <color indexed="81"/>
            <rFont val="Tahoma"/>
            <family val="2"/>
          </rPr>
          <t xml:space="preserve">
Grommet policy only mentions children. Adult section of policy refers to cholesteatoma
Surgical Drainage of the middle ear (with or without grommets) Commissioning Statement</t>
        </r>
      </text>
    </comment>
    <comment ref="U133" authorId="0" shapeId="0" xr:uid="{EB9E7DE1-9D55-4905-8C1B-B3267F3777AA}">
      <text>
        <r>
          <rPr>
            <b/>
            <sz val="9"/>
            <color indexed="81"/>
            <rFont val="Tahoma"/>
            <family val="2"/>
          </rPr>
          <t>Jamie Smyth:</t>
        </r>
        <r>
          <rPr>
            <sz val="9"/>
            <color indexed="81"/>
            <rFont val="Tahoma"/>
            <family val="2"/>
          </rPr>
          <t xml:space="preserve">
https://www.hweclinicalguidance.nhs.uk/clinical-policies/grommet-insertion-in-adults/l</t>
        </r>
      </text>
    </comment>
    <comment ref="V133" authorId="425" shapeId="0" xr:uid="{C66AC12A-E7A8-4C69-8374-FF5CA7038FD4}">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https://humberandnorthyorkshire.icb.nhs.uk/wp-content/uploads/2025/04/088-Grommets-for-glue-ear-in-children.docx</t>
      </text>
    </comment>
    <comment ref="Z133" authorId="0" shapeId="0" xr:uid="{A2AA2FBA-0201-406E-999B-C256AA8FD948}">
      <text>
        <r>
          <rPr>
            <b/>
            <sz val="9"/>
            <color indexed="81"/>
            <rFont val="Tahoma"/>
            <family val="2"/>
          </rPr>
          <t>Jamie Smyth:</t>
        </r>
        <r>
          <rPr>
            <sz val="9"/>
            <color indexed="81"/>
            <rFont val="Tahoma"/>
            <family val="2"/>
          </rPr>
          <t xml:space="preserve">
The insertion of grommets or adenoidectomy for otitis media with or without effusion in children older than 12 years of age and adults will not routinely be funded. 
AO: only ref to children not adults. Therefore NA</t>
        </r>
      </text>
    </comment>
    <comment ref="AA133" authorId="0" shapeId="0" xr:uid="{EFA48D46-F961-48FC-9795-C72565215365}">
      <text>
        <r>
          <rPr>
            <b/>
            <sz val="9"/>
            <color indexed="81"/>
            <rFont val="Tahoma"/>
            <family val="2"/>
          </rPr>
          <t>Jamie Smyth:</t>
        </r>
        <r>
          <rPr>
            <sz val="9"/>
            <color indexed="81"/>
            <rFont val="Tahoma"/>
            <family val="2"/>
          </rPr>
          <t xml:space="preserve">
https://www.midandsouthessex.ics.nhs.uk/publications/srp-054-grommets//</t>
        </r>
      </text>
    </comment>
    <comment ref="AJ133" authorId="426" shapeId="0" xr:uid="{1ED65F6B-D917-4A7A-9C2D-35A6A546CB41}">
      <text>
        <t>[Threaded comment]
Your version of Excel allows you to read this threaded comment; however, any edits to it will get removed if the file is opened in a newer version of Excel. Learn more: https://go.microsoft.com/fwlink/?linkid=870924
Comment:
    Tick https://nhssomerset.nhs.uk/wp-content/uploads/sites/2/Grommet-Insertion-in-Adults-with-Otitis-Media-with-Effusion-OME-CBA-2425.v5-20250529.pdf</t>
      </text>
    </comment>
    <comment ref="G134" authorId="427" shapeId="0" xr:uid="{392B4A0B-4C36-4062-8CBA-261FCEE5961E}">
      <text>
        <t>[Threaded comment]
Your version of Excel allows you to read this threaded comment; however, any edits to it will get removed if the file is opened in a newer version of Excel. Learn more: https://go.microsoft.com/fwlink/?linkid=870924
Comment:
    Only ref is this but not child specific https://bnssghealthiertogether.org.uk/library/foi-icb-2324-211-grommet-waiting-lists-and-surgeries/</t>
      </text>
    </comment>
    <comment ref="V134" authorId="428" shapeId="0" xr:uid="{ECE7738A-8F89-45F7-B777-2FD8408B0222}">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https://humberandnorthyorkshire.icb.nhs.uk/wp-content/uploads/2025/04/088-Grommets-for-glue-ear-in-children.docx</t>
      </text>
    </comment>
    <comment ref="AA134" authorId="0" shapeId="0" xr:uid="{6144D2EA-5C95-48B3-BE87-F155F9ADE7BC}">
      <text>
        <r>
          <rPr>
            <b/>
            <sz val="9"/>
            <color indexed="81"/>
            <rFont val="Tahoma"/>
            <family val="2"/>
          </rPr>
          <t>Jamie Smyth:</t>
        </r>
        <r>
          <rPr>
            <sz val="9"/>
            <color indexed="81"/>
            <rFont val="Tahoma"/>
            <family val="2"/>
          </rPr>
          <t xml:space="preserve">
https://www.midandsouthessex.ics.nhs.uk/publications/srp-054-grommets//</t>
        </r>
      </text>
    </comment>
    <comment ref="E135" authorId="0" shapeId="0" xr:uid="{5A741E97-BC0B-4599-89B7-171E07E55F28}">
      <text>
        <r>
          <rPr>
            <b/>
            <sz val="9"/>
            <color indexed="81"/>
            <rFont val="Tahoma"/>
            <family val="2"/>
          </rPr>
          <t>Jamie Smyth:</t>
        </r>
        <r>
          <rPr>
            <sz val="9"/>
            <color indexed="81"/>
            <rFont val="Tahoma"/>
            <family val="2"/>
          </rPr>
          <t xml:space="preserve">
Covered under "Hip arthroscopy"</t>
        </r>
      </text>
    </comment>
    <comment ref="G135" authorId="0" shapeId="0" xr:uid="{AFE807CF-E80B-4BC4-A16D-876975B3E423}">
      <text>
        <r>
          <rPr>
            <b/>
            <sz val="9"/>
            <color indexed="81"/>
            <rFont val="Tahoma"/>
            <family val="2"/>
          </rPr>
          <t>Jamie Smyth:</t>
        </r>
        <r>
          <rPr>
            <sz val="9"/>
            <color indexed="81"/>
            <rFont val="Tahoma"/>
            <family val="2"/>
          </rPr>
          <t xml:space="preserve">
Open or Arthroscopic FemoroAcetabular Surgery for Hip Pain including Impingement policy</t>
        </r>
      </text>
    </comment>
    <comment ref="I135" authorId="0" shapeId="0" xr:uid="{E6C6DEB1-43BD-4AF9-B200-4D5DDE14AFDD}">
      <text>
        <r>
          <rPr>
            <b/>
            <sz val="9"/>
            <color indexed="81"/>
            <rFont val="Tahoma"/>
            <family val="2"/>
          </rPr>
          <t>Jamie Smyth:</t>
        </r>
        <r>
          <rPr>
            <sz val="9"/>
            <color indexed="81"/>
            <rFont val="Tahoma"/>
            <family val="2"/>
          </rPr>
          <t xml:space="preserve">
Chronic Hip Pain Policy
</t>
        </r>
      </text>
    </comment>
    <comment ref="M135" authorId="0" shapeId="0" xr:uid="{DE9349B3-F5CE-468F-83BF-76D23E37018E}">
      <text>
        <r>
          <rPr>
            <b/>
            <sz val="9"/>
            <color indexed="81"/>
            <rFont val="Tahoma"/>
            <family val="2"/>
          </rPr>
          <t>Jamie Smyth:</t>
        </r>
        <r>
          <rPr>
            <sz val="9"/>
            <color indexed="81"/>
            <rFont val="Tahoma"/>
            <family val="2"/>
          </rPr>
          <t xml:space="preserve">
Hip arthroscopy policy</t>
        </r>
      </text>
    </comment>
    <comment ref="N135" authorId="0" shapeId="0" xr:uid="{357B8078-BEC6-4B91-9A73-7FE841EE7BC4}">
      <text>
        <r>
          <rPr>
            <b/>
            <sz val="9"/>
            <color indexed="81"/>
            <rFont val="Tahoma"/>
            <family val="2"/>
          </rPr>
          <t>Jamie Smyth:</t>
        </r>
        <r>
          <rPr>
            <sz val="9"/>
            <color indexed="81"/>
            <rFont val="Tahoma"/>
            <family val="2"/>
          </rPr>
          <t xml:space="preserve">
Open or Arthroscopic Surgery
for the Treatment of Femoroacetabular Impingement policy</t>
        </r>
      </text>
    </comment>
    <comment ref="O135" authorId="0" shapeId="0" xr:uid="{65AF367D-AAAC-42B4-8BE2-F4267EDDDEFE}">
      <text>
        <r>
          <rPr>
            <b/>
            <sz val="9"/>
            <color indexed="81"/>
            <rFont val="Tahoma"/>
            <family val="2"/>
          </rPr>
          <t>Jamie Smyth:</t>
        </r>
        <r>
          <rPr>
            <sz val="9"/>
            <color indexed="81"/>
            <rFont val="Tahoma"/>
            <family val="2"/>
          </rPr>
          <t xml:space="preserve">
Hip Arthroscopy policy</t>
        </r>
      </text>
    </comment>
    <comment ref="R135" authorId="0" shapeId="0" xr:uid="{56719DFB-6EC8-442C-9D63-84B4705D9359}">
      <text>
        <r>
          <rPr>
            <b/>
            <sz val="9"/>
            <color indexed="81"/>
            <rFont val="Tahoma"/>
            <family val="2"/>
          </rPr>
          <t>Jamie Smyth:</t>
        </r>
        <r>
          <rPr>
            <sz val="9"/>
            <color indexed="81"/>
            <rFont val="Tahoma"/>
            <family val="2"/>
          </rPr>
          <t xml:space="preserve">
Can't find mention of Hip Impingement/Arthroscopy policies</t>
        </r>
      </text>
    </comment>
    <comment ref="T135" authorId="0" shapeId="0" xr:uid="{7516DF34-D313-4CF9-BE34-43F20A40BBA6}">
      <text>
        <r>
          <rPr>
            <b/>
            <sz val="9"/>
            <color indexed="81"/>
            <rFont val="Tahoma"/>
            <family val="2"/>
          </rPr>
          <t>Jamie Smyth:</t>
        </r>
        <r>
          <rPr>
            <sz val="9"/>
            <color indexed="81"/>
            <rFont val="Tahoma"/>
            <family val="2"/>
          </rPr>
          <t xml:space="preserve">
Management of Musculo-Skeletal Conditions - Commissioning Policy v1.5</t>
        </r>
      </text>
    </comment>
    <comment ref="U135" authorId="0" shapeId="0" xr:uid="{AEE8C1C9-0DCF-48DF-B9AE-A29C8B9DCFD6}">
      <text>
        <r>
          <rPr>
            <b/>
            <sz val="9"/>
            <color indexed="81"/>
            <rFont val="Tahoma"/>
            <family val="2"/>
          </rPr>
          <t>Jamie Smyth:</t>
        </r>
        <r>
          <rPr>
            <sz val="9"/>
            <color indexed="81"/>
            <rFont val="Tahoma"/>
            <family val="2"/>
          </rPr>
          <t xml:space="preserve">
https://www.hweclinicalguidance.nhs.uk/clinical-policies/hip-arthroscopy/</t>
        </r>
      </text>
    </comment>
    <comment ref="V135" authorId="0" shapeId="0" xr:uid="{8CD899FA-6309-48E9-8F39-CFCF17AFDD34}">
      <text>
        <r>
          <rPr>
            <b/>
            <sz val="9"/>
            <color indexed="81"/>
            <rFont val="Tahoma"/>
            <family val="2"/>
          </rPr>
          <t>Jamie Smyth:</t>
        </r>
        <r>
          <rPr>
            <sz val="9"/>
            <color indexed="81"/>
            <rFont val="Tahoma"/>
            <family val="2"/>
          </rPr>
          <t xml:space="preserve">
Arthroscopic hip surgery commissioning policy</t>
        </r>
      </text>
    </comment>
    <comment ref="X135" authorId="0" shapeId="0" xr:uid="{2CB09CE0-7B76-4194-A80A-EBFEEEB49437}">
      <text>
        <r>
          <rPr>
            <b/>
            <sz val="9"/>
            <color indexed="81"/>
            <rFont val="Tahoma"/>
            <family val="2"/>
          </rPr>
          <t xml:space="preserve">Jamie Smyth:
</t>
        </r>
        <r>
          <rPr>
            <sz val="9"/>
            <color indexed="81"/>
            <rFont val="Tahoma"/>
            <family val="2"/>
          </rPr>
          <t>Hip arthroscopy policy</t>
        </r>
      </text>
    </comment>
    <comment ref="Y135" authorId="0" shapeId="0" xr:uid="{193AD351-E185-48DB-9E2C-B14C123F8AC5}">
      <text>
        <r>
          <rPr>
            <b/>
            <sz val="9"/>
            <color indexed="81"/>
            <rFont val="Tahoma"/>
            <family val="2"/>
          </rPr>
          <t>Jamie Smyth:</t>
        </r>
        <r>
          <rPr>
            <sz val="9"/>
            <color indexed="81"/>
            <rFont val="Tahoma"/>
            <family val="2"/>
          </rPr>
          <t xml:space="preserve">
LLR Policy for Hip Arthroscopy</t>
        </r>
      </text>
    </comment>
    <comment ref="Z135" authorId="0" shapeId="0" xr:uid="{B0507048-B961-4ACB-B7E0-E4CAD6AE0C1C}">
      <text>
        <r>
          <rPr>
            <b/>
            <sz val="9"/>
            <color indexed="81"/>
            <rFont val="Tahoma"/>
            <family val="2"/>
          </rPr>
          <t>Jamie Smyth:</t>
        </r>
        <r>
          <rPr>
            <sz val="9"/>
            <color indexed="81"/>
            <rFont val="Tahoma"/>
            <family val="2"/>
          </rPr>
          <t xml:space="preserve">
Hip arthroscopy policy - Page 91</t>
        </r>
      </text>
    </comment>
    <comment ref="AA135" authorId="0" shapeId="0" xr:uid="{02F871E5-C5E9-4BEE-B232-724F60BDE172}">
      <text>
        <r>
          <rPr>
            <b/>
            <sz val="9"/>
            <color indexed="81"/>
            <rFont val="Tahoma"/>
            <family val="2"/>
          </rPr>
          <t>Jamie Smyth:</t>
        </r>
        <r>
          <rPr>
            <sz val="9"/>
            <color indexed="81"/>
            <rFont val="Tahoma"/>
            <family val="2"/>
          </rPr>
          <t xml:space="preserve">
https://www.midandsouthessex.ics.nhs.uk/publications/srp-014-arthroscopy-hip-including-femoro-acetabular-impingement-fai/</t>
        </r>
      </text>
    </comment>
    <comment ref="AD135" authorId="246" shapeId="0" xr:uid="{7CD40BF8-0F42-47F4-831E-DDA246A1F627}">
      <text>
        <r>
          <rPr>
            <b/>
            <sz val="9"/>
            <color indexed="81"/>
            <rFont val="Tahoma"/>
            <family val="2"/>
          </rPr>
          <t>Smyth, Jamie B:</t>
        </r>
        <r>
          <rPr>
            <sz val="9"/>
            <color indexed="81"/>
            <rFont val="Tahoma"/>
            <family val="2"/>
          </rPr>
          <t xml:space="preserve">
Hip Arthroscopy Page 98</t>
        </r>
      </text>
    </comment>
    <comment ref="AG135" authorId="0" shapeId="0" xr:uid="{F87E3B19-7EC1-4174-8792-127732FB21EA}">
      <text>
        <r>
          <rPr>
            <b/>
            <sz val="9"/>
            <color indexed="81"/>
            <rFont val="Tahoma"/>
            <family val="2"/>
          </rPr>
          <t>Jamie Smyth:</t>
        </r>
        <r>
          <rPr>
            <sz val="9"/>
            <color indexed="81"/>
            <rFont val="Tahoma"/>
            <family val="2"/>
          </rPr>
          <t xml:space="preserve">
https://www.icnorthamptonshire.org.uk/documents?media_item=19761&amp;media_type=10#file-viewer</t>
        </r>
      </text>
    </comment>
    <comment ref="AJ135" authorId="0" shapeId="0" xr:uid="{4CCB09C1-EA02-4253-A812-018ABC646E0E}">
      <text>
        <r>
          <rPr>
            <b/>
            <sz val="9"/>
            <color indexed="81"/>
            <rFont val="Tahoma"/>
            <family val="2"/>
          </rPr>
          <t>Jamie Smyth:</t>
        </r>
        <r>
          <rPr>
            <sz val="9"/>
            <color indexed="81"/>
            <rFont val="Tahoma"/>
            <family val="2"/>
          </rPr>
          <t xml:space="preserve">
Not mentioned in document</t>
        </r>
      </text>
    </comment>
    <comment ref="AN135" authorId="0" shapeId="0" xr:uid="{62475BC5-6086-479E-A30B-A9F521E01460}">
      <text>
        <r>
          <rPr>
            <b/>
            <sz val="9"/>
            <color indexed="81"/>
            <rFont val="Tahoma"/>
            <family val="2"/>
          </rPr>
          <t>Jamie Smyth:</t>
        </r>
        <r>
          <rPr>
            <sz val="9"/>
            <color indexed="81"/>
            <rFont val="Tahoma"/>
            <family val="2"/>
          </rPr>
          <t xml:space="preserve">
Hip Athroscopy - Page 97</t>
        </r>
      </text>
    </comment>
    <comment ref="AQ135" authorId="0" shapeId="0" xr:uid="{BA02E433-F260-4FFD-96FE-48A4F82E5B49}">
      <text>
        <r>
          <rPr>
            <b/>
            <sz val="9"/>
            <color indexed="81"/>
            <rFont val="Tahoma"/>
            <family val="2"/>
          </rPr>
          <t>Jamie Smyth:</t>
        </r>
        <r>
          <rPr>
            <sz val="9"/>
            <color indexed="81"/>
            <rFont val="Tahoma"/>
            <family val="2"/>
          </rPr>
          <t xml:space="preserve">
Hip arthroscopy (keyhole surgery) (01.2020) policy</t>
        </r>
      </text>
    </comment>
    <comment ref="F136" authorId="429" shapeId="0" xr:uid="{5BBBEB6B-BDFB-46F9-BA43-369216C66169}">
      <text>
        <t>[Threaded comment]
Your version of Excel allows you to read this threaded comment; however, any edits to it will get removed if the file is opened in a newer version of Excel. Learn more: https://go.microsoft.com/fwlink/?linkid=870924
Comment:
    Surgical removal of kidney stones
Kidney stones are products of waste in the blood that can occasionally form crystals, over time the crystals may build up to form a hard stone-like lump. https://blackcountry.icb.nhs.uk/have-your-say/get-involved/current-consultations-and-engagement/clinical-policy-review2</t>
      </text>
    </comment>
    <comment ref="M136" authorId="430" shapeId="0" xr:uid="{E4416F47-17BA-4966-9759-6EC8F3B360B0}">
      <text>
        <t>[Threaded comment]
Your version of Excel allows you to read this threaded comment; however, any edits to it will get removed if the file is opened in a newer version of Excel. Learn more: https://go.microsoft.com/fwlink/?linkid=870924
Comment:
    Criteria  based https://www.derbyshiremedicinesmanagement.nhs.uk/assets/Clinical-Policies/Clinical_Policies/PLCV/urology/Surgical_Removal_of_Kidney_Stones%20.pdf</t>
      </text>
    </comment>
    <comment ref="T136" authorId="431" shapeId="0" xr:uid="{EC050DB8-54A4-441D-9596-9D67C6F8C0E7}">
      <text>
        <t>[Threaded comment]
Your version of Excel allows you to read this threaded comment; however, any edits to it will get removed if the file is opened in a newer version of Excel. Learn more: https://go.microsoft.com/fwlink/?linkid=870924
Comment:
    Tick https://www.hwics.org.uk/application/files/2217/4592/3182/ICB_Kidney_Stones_Commissioning_Policy_v1.3.pdf</t>
      </text>
    </comment>
    <comment ref="V136" authorId="432" shapeId="0" xr:uid="{86F42E58-22B5-408D-8CE0-E785B9C0A3DD}">
      <text>
        <t>[Threaded comment]
Your version of Excel allows you to read this threaded comment; however, any edits to it will get removed if the file is opened in a newer version of Excel. Learn more: https://go.microsoft.com/fwlink/?linkid=870924
Comment:
    Policy under review https://humberandnorthyorkshire.icb.nhs.uk/documents-and-publications/commissioning-policies-2/</t>
      </text>
    </comment>
    <comment ref="Z136" authorId="433" shapeId="0" xr:uid="{68D40352-8FB9-4B97-8949-C099A729B708}">
      <text>
        <t>[Threaded comment]
Your version of Excel allows you to read this threaded comment; however, any edits to it will get removed if the file is opened in a newer version of Excel. Learn more: https://go.microsoft.com/fwlink/?linkid=870924
Comment:
    Unable to find ref</t>
      </text>
    </comment>
    <comment ref="AH136" authorId="434" shapeId="0" xr:uid="{D12F29F2-9337-4CAE-A434-A213C129FA08}">
      <text>
        <t>[Threaded comment]
Your version of Excel allows you to read this threaded comment; however, any edits to it will get removed if the file is opened in a newer version of Excel. Learn more: https://go.microsoft.com/fwlink/?linkid=870924
Comment:
    Tick https://notts.icb.nhs.uk/wp-content/uploads/sites/2/2022/04/Value-Based-Commissioning-PolicyV1.4-2.pdf</t>
      </text>
    </comment>
    <comment ref="G137" authorId="435" shapeId="0" xr:uid="{76D910FF-AA98-4153-96B8-56BABA61F191}">
      <text>
        <t>[Threaded comment]
Your version of Excel allows you to read this threaded comment; however, any edits to it will get removed if the file is opened in a newer version of Excel. Learn more: https://go.microsoft.com/fwlink/?linkid=870924
Comment:
    https://bnssghealthiertogether.org.uk/wp-content/uploads/2017/05/Forefoot-Surgery-in-Secondary-Care-BNSSG-3-24-25-1.pdf Tick - criteria based access</t>
      </text>
    </comment>
    <comment ref="Q137" authorId="436" shapeId="0" xr:uid="{8196E2C8-3412-4759-82A0-16E74D33EFD2}">
      <text>
        <t>[Threaded comment]
Your version of Excel allows you to read this threaded comment; however, any edits to it will get removed if the file is opened in a newer version of Excel. Learn more: https://go.microsoft.com/fwlink/?linkid=870924
Comment:
    Criteria based https://www.nhsglos.nhs.uk/wp-content/uploads/2024/02/Surgical-Foot-Procedures.pdf</t>
      </text>
    </comment>
    <comment ref="AM137" authorId="437" shapeId="0" xr:uid="{20B6BF1D-A749-4FFC-9AC8-5DEE108515D6}">
      <text>
        <t>[Threaded comment]
Your version of Excel allows you to read this threaded comment; however, any edits to it will get removed if the file is opened in a newer version of Excel. Learn more: https://go.microsoft.com/fwlink/?linkid=870924
Comment:
    Tick “Common Foot and Ankle Procedures” https://staffsstoke.icb.nhs.uk/your-nhs-integrated-care-board/our-publications/governance-handbook/all-policies/commissioning/icb-excluded-and-restricted-procedures-policy-v3-1/?layout=file</t>
      </text>
    </comment>
    <comment ref="C138" authorId="0" shapeId="0" xr:uid="{0BEF04B4-D083-45A4-9516-32D3522C2D5A}">
      <text>
        <r>
          <rPr>
            <b/>
            <sz val="9"/>
            <color indexed="81"/>
            <rFont val="Tahoma"/>
            <family val="2"/>
          </rPr>
          <t>Jamie Smyth:</t>
        </r>
        <r>
          <rPr>
            <sz val="9"/>
            <color indexed="81"/>
            <rFont val="Tahoma"/>
            <family val="2"/>
          </rPr>
          <t xml:space="preserve">
Referenced in tonsillectomy policy for adults</t>
        </r>
      </text>
    </comment>
    <comment ref="D138" authorId="438" shapeId="0" xr:uid="{07E22EFE-DF9C-4A13-A50C-2D307A381CCD}">
      <text>
        <t>[Threaded comment]
Your version of Excel allows you to read this threaded comment; however, any edits to it will get removed if the file is opened in a newer version of Excel. Learn more: https://go.microsoft.com/fwlink/?linkid=870924
Comment:
    Cannot find in policy</t>
      </text>
    </comment>
    <comment ref="E138" authorId="0" shapeId="0" xr:uid="{2325105F-EDE6-47AF-8D66-AB1064E73B94}">
      <text>
        <r>
          <rPr>
            <b/>
            <sz val="9"/>
            <color indexed="81"/>
            <rFont val="Tahoma"/>
            <family val="2"/>
          </rPr>
          <t>Jamie Smyth:</t>
        </r>
        <r>
          <rPr>
            <sz val="9"/>
            <color indexed="81"/>
            <rFont val="Tahoma"/>
            <family val="2"/>
          </rPr>
          <t xml:space="preserve">
Covered under "Adenoidectomy"</t>
        </r>
      </text>
    </comment>
    <comment ref="F138" authorId="0" shapeId="0" xr:uid="{5B35399A-59B0-4FF2-8C44-AD573BBE2BAA}">
      <text>
        <r>
          <rPr>
            <b/>
            <sz val="9"/>
            <color indexed="81"/>
            <rFont val="Tahoma"/>
            <family val="2"/>
          </rPr>
          <t>Jamie Smyth:</t>
        </r>
        <r>
          <rPr>
            <sz val="9"/>
            <color indexed="81"/>
            <rFont val="Tahoma"/>
            <family val="2"/>
          </rPr>
          <t xml:space="preserve">
Adenoidectomy funded for OSA. AO unable to find ref to OSA in adenoidectomy</t>
        </r>
      </text>
    </comment>
    <comment ref="J138" authorId="439" shapeId="0" xr:uid="{C6B01F0B-F06B-473A-8836-62FEFCCD58C9}">
      <text>
        <t>[Threaded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https://www.cheshireandmerseyside.nhs.uk/media/2tehrrz2/pol-clin074-sleepapnoeanarc-v1-final.pdf</t>
      </text>
    </comment>
    <comment ref="Q138" authorId="440" shapeId="0" xr:uid="{F175AC51-A676-4298-AF17-E0A53FCD0AD8}">
      <text>
        <t>[Threaded comment]
Your version of Excel allows you to read this threaded comment; however, any edits to it will get removed if the file is opened in a newer version of Excel. Learn more: https://go.microsoft.com/fwlink/?linkid=870924
Comment:
    Cannot find</t>
      </text>
    </comment>
    <comment ref="R138" authorId="0" shapeId="0" xr:uid="{06D5B9F9-0215-447B-BA1E-D5E0C21B329A}">
      <text>
        <r>
          <rPr>
            <b/>
            <sz val="9"/>
            <color indexed="81"/>
            <rFont val="Tahoma"/>
            <family val="2"/>
          </rPr>
          <t>Jamie Smyth:</t>
        </r>
        <r>
          <rPr>
            <sz val="9"/>
            <color indexed="81"/>
            <rFont val="Tahoma"/>
            <family val="2"/>
          </rPr>
          <t xml:space="preserve">
Directs to NICE  Technology Appraisal TA139 - Continuous positive airway pressure for the treatment of obstructive sleep apnoea/hypopnoea syndrome.  
NICE guidelines suggest surgery is not routinely used due to lack of evidence</t>
        </r>
      </text>
    </comment>
    <comment ref="V138" authorId="0" shapeId="0" xr:uid="{C159AA5A-20F6-465D-9075-5EDC31497BD2}">
      <text>
        <r>
          <rPr>
            <b/>
            <sz val="9"/>
            <color indexed="81"/>
            <rFont val="Tahoma"/>
            <family val="2"/>
          </rPr>
          <t>Jamie Smyth:</t>
        </r>
        <r>
          <rPr>
            <sz val="9"/>
            <color indexed="81"/>
            <rFont val="Tahoma"/>
            <family val="2"/>
          </rPr>
          <t xml:space="preserve">
Can't find mention of Specific policies</t>
        </r>
      </text>
    </comment>
    <comment ref="X138" authorId="441" shapeId="0" xr:uid="{EC089CBB-2B16-405B-95D1-3C03714A1830}">
      <text>
        <t>[Threaded comment]
Your version of Excel allows you to read this threaded comment; however, any edits to it will get removed if the file is opened in a newer version of Excel. Learn more: https://go.microsoft.com/fwlink/?linkid=870924
Comment:
    Indication for tonsilectomy https://www.healthierlsc.co.uk/application/files/2916/7576/5524/LSCICB_Clin19_Policy_for_Tonsillectomy_Adeno-Tonsillectomy_v2.1.pdf</t>
      </text>
    </comment>
    <comment ref="Y138" authorId="0" shapeId="0" xr:uid="{ACA85B0F-F8D9-4AAF-AA5F-6B90D5A284F0}">
      <text>
        <r>
          <rPr>
            <b/>
            <sz val="9"/>
            <color indexed="81"/>
            <rFont val="Tahoma"/>
            <family val="2"/>
          </rPr>
          <t>Jamie Smyth:</t>
        </r>
        <r>
          <rPr>
            <sz val="9"/>
            <color indexed="81"/>
            <rFont val="Tahoma"/>
            <family val="2"/>
          </rPr>
          <t xml:space="preserve">
Sleep apnoea policy mentions when to refer but doesn’t mention treatment modalities</t>
        </r>
      </text>
    </comment>
    <comment ref="AB138" authorId="0" shapeId="0" xr:uid="{E02652E6-9142-470D-8A49-6E4AD4D60498}">
      <text>
        <r>
          <rPr>
            <b/>
            <sz val="9"/>
            <color indexed="81"/>
            <rFont val="Tahoma"/>
            <family val="2"/>
          </rPr>
          <t>Jamie Smyth:</t>
        </r>
        <r>
          <rPr>
            <sz val="9"/>
            <color indexed="81"/>
            <rFont val="Tahoma"/>
            <family val="2"/>
          </rPr>
          <t xml:space="preserve">
Tonsillectomy is not routinely funded for the treatment of sleep apnoea in adults.</t>
        </r>
      </text>
    </comment>
    <comment ref="AG138" authorId="0" shapeId="0" xr:uid="{24FAE5D3-1518-4A91-B511-62E33A434F13}">
      <text>
        <r>
          <rPr>
            <b/>
            <sz val="9"/>
            <color indexed="81"/>
            <rFont val="Tahoma"/>
            <family val="2"/>
          </rPr>
          <t>Jamie Smyth:</t>
        </r>
        <r>
          <rPr>
            <sz val="9"/>
            <color indexed="81"/>
            <rFont val="Tahoma"/>
            <family val="2"/>
          </rPr>
          <t xml:space="preserve">
https://www.icnorthamptonshire.org.uk/documents?media_item=21599&amp;media_type=10#file-viewer
Not funded - Surgical treatments for snoring or sleep apnoea</t>
        </r>
      </text>
    </comment>
    <comment ref="AQ138" authorId="0" shapeId="0" xr:uid="{FD328DC3-EB23-40AA-B1C0-EAB6BA94376A}">
      <text>
        <r>
          <rPr>
            <b/>
            <sz val="9"/>
            <color indexed="81"/>
            <rFont val="Tahoma"/>
            <family val="2"/>
          </rPr>
          <t>Jamie Smyth:</t>
        </r>
        <r>
          <rPr>
            <sz val="9"/>
            <color indexed="81"/>
            <rFont val="Tahoma"/>
            <family val="2"/>
          </rPr>
          <t xml:space="preserve">
Not mentioned in document</t>
        </r>
      </text>
    </comment>
    <comment ref="AH140" authorId="442" shapeId="0" xr:uid="{CA7929CA-763C-4F20-8D4E-09057B68FF1D}">
      <text>
        <t>[Threaded comment]
Your version of Excel allows you to read this threaded comment; however, any edits to it will get removed if the file is opened in a newer version of Excel. Learn more: https://go.microsoft.com/fwlink/?linkid=870924
Comment:
    Biological mesh indication https://notts.icb.nhs.uk/wp-content/uploads/sites/2/2022/04/Value-Based-Commissioning-PolicyV1.4-2.pdf</t>
      </text>
    </comment>
    <comment ref="F142" authorId="443" shapeId="0" xr:uid="{6A064149-0FEA-4D5B-A7EF-5B347534E9D2}">
      <text>
        <t>[Threaded comment]
Your version of Excel allows you to read this threaded comment; however, any edits to it will get removed if the file is opened in a newer version of Excel. Learn more: https://go.microsoft.com/fwlink/?linkid=870924
Comment:
    Rosacea policy https://blackcountryics.org.uk/application/files/2317/1820/8172/BCICB_POLICY_Rosacea.pdf</t>
      </text>
    </comment>
    <comment ref="M142" authorId="444" shapeId="0" xr:uid="{52FFAF13-9DEA-46DB-803B-EAC95343DBA5}">
      <text>
        <t>[Threaded comment]
Your version of Excel allows you to read this threaded comment; however, any edits to it will get removed if the file is opened in a newer version of Excel. Learn more: https://go.microsoft.com/fwlink/?linkid=870924
Comment:
    IFR https://www.derbyshiremedicinesmanagement.nhs.uk/assets/Clinical-Policies/Clinical_Policies/Cosmetic/cosmetic/Not_Routinely_Commissioned_Cosmetic_Procedures.pdf</t>
      </text>
    </comment>
    <comment ref="O142" authorId="445" shapeId="0" xr:uid="{56F6997A-08FC-4735-8A12-A464E27BA3A7}">
      <text>
        <t>[Threaded comment]
Your version of Excel allows you to read this threaded comment; however, any edits to it will get removed if the file is opened in a newer version of Excel. Learn more: https://go.microsoft.com/fwlink/?linkid=870924
Comment:
    Prior approval https://nhsdorset.nhs.uk/wp-content/uploads/2022/11/Cosmetic-Treatments-EBI.pdf</t>
      </text>
    </comment>
    <comment ref="P142" authorId="446" shapeId="0" xr:uid="{48D480A3-9594-4ABE-8EBF-8ADE8EA15E83}">
      <text>
        <t>[Threaded comment]
Your version of Excel allows you to read this threaded comment; however, any edits to it will get removed if the file is opened in a newer version of Excel. Learn more: https://go.microsoft.com/fwlink/?linkid=870924
Comment:
    https://fundingrequests.scwcsu.nhs.uk/wp-content/uploads/2024/12/BOBFPC16-Aesthetic-treatments-for-adults-and-children-v2.0.pdf IFR</t>
      </text>
    </comment>
    <comment ref="Q142" authorId="447" shapeId="0" xr:uid="{B6721CE8-FE59-4C3F-810E-1182FFC3A074}">
      <text>
        <t>[Threaded comment]
Your version of Excel allows you to read this threaded comment; however, any edits to it will get removed if the file is opened in a newer version of Excel. Learn more: https://go.microsoft.com/fwlink/?linkid=870924
Comment:
    IFR https://www.nhsglos.nhs.uk/wp-content/uploads/2023/07/Facial-Procedures.pdf</t>
      </text>
    </comment>
    <comment ref="R142" authorId="448" shapeId="0" xr:uid="{AB918EA6-5911-44EB-8F6B-C38DD7C88CF9}">
      <text>
        <t>[Threaded comment]
Your version of Excel allows you to read this threaded comment; however, any edits to it will get removed if the file is opened in a newer version of Excel. Learn more: https://go.microsoft.com/fwlink/?linkid=870924
Comment:
    Criteria https://nhsgmgmicbsa.blob.core.windows.net/nhsgmgmicbblobstorage/GMEUR/Commissioning%20Statements/GM%20Other%20Aesthetic%20Surgery%20Commissioning%20Statement.pdf</t>
      </text>
    </comment>
    <comment ref="S142" authorId="449" shapeId="0" xr:uid="{86DC7FCB-62CF-4869-A9E0-4DD07417E816}">
      <text>
        <t>[Threaded comment]
Your version of Excel allows you to read this threaded comment; however, any edits to it will get removed if the file is opened in a newer version of Excel. Learn more: https://go.microsoft.com/fwlink/?linkid=870924
Comment:
    https://fundingrequests.scwcsu.nhs.uk/wp-content/uploads/2023/04/Policy-72-Cosmetic-interventions-for-adults-and-children-v1.1.pdf IFR</t>
      </text>
    </comment>
    <comment ref="T142" authorId="450" shapeId="0" xr:uid="{5CA0D6E4-29E0-4753-BD09-CF97505CC39B}">
      <text>
        <t>[Threaded comment]
Your version of Excel allows you to read this threaded comment; however, any edits to it will get removed if the file is opened in a newer version of Excel. Learn more: https://go.microsoft.com/fwlink/?linkid=870924
Comment:
    IFR https://www.hwics.org.uk/application/files/9617/0186/0193/ICB_Aesthetic_Treatment__Surgery_v1.4_Final.pdf</t>
      </text>
    </comment>
    <comment ref="U142" authorId="451" shapeId="0" xr:uid="{0A387364-C0FF-4912-B54D-1B3432DE7C8B}">
      <text>
        <t>[Threaded comment]
Your version of Excel allows you to read this threaded comment; however, any edits to it will get removed if the file is opened in a newer version of Excel. Learn more: https://go.microsoft.com/fwlink/?linkid=870924
Comment:
    IFR https://www.hweclinicalguidance.nhs.uk/all-clinical-areas-documents/search-results/cosmetic-procedures/</t>
      </text>
    </comment>
    <comment ref="AF142" authorId="452" shapeId="0" xr:uid="{F4C9FCB4-AE61-4D26-A8B2-1CE62C15F16B}">
      <text>
        <t>[Threaded comment]
Your version of Excel allows you to read this threaded comment; however, any edits to it will get removed if the file is opened in a newer version of Excel. Learn more: https://go.microsoft.com/fwlink/?linkid=870924
Comment:
    IFR https://www.nwlondonicb.nhs.uk/application/files/6916/7664/3307/Cosmetic_Treatment_Policy_v7.pdf</t>
      </text>
    </comment>
    <comment ref="AG142" authorId="453" shapeId="0" xr:uid="{83D10367-5152-412E-AEF9-A83A171A651A}">
      <text>
        <t>[Threaded comment]
Your version of Excel allows you to read this threaded comment; however, any edits to it will get removed if the file is opened in a newer version of Excel. Learn more: https://go.microsoft.com/fwlink/?linkid=870924
Comment:
    IFR https://www.icnorthamptonshire.org.uk/download.cfm?doc=docm93jijm4n19772&amp;ver=65843</t>
      </text>
    </comment>
    <comment ref="AM142" authorId="454" shapeId="0" xr:uid="{DE56893D-E8B3-4CE5-9967-D6BAAFB7C4F5}">
      <text>
        <t>[Threaded comment]
Your version of Excel allows you to read this threaded comment; however, any edits to it will get removed if the file is opened in a newer version of Excel. Learn more: https://go.microsoft.com/fwlink/?linkid=870924
Comment:
    Tick - Severe cases of rhinophyma may be considered when there is evidence of severe nasal airway obstruction https://staffsstoke.icb.nhs.uk/your-nhs-integrated-care-board/our-publications/governance-handbook/all-policies/commissioning/icb-excluded-and-restricted-procedures-policy-v3-1/?layout=file</t>
      </text>
    </comment>
    <comment ref="AQ142" authorId="455" shapeId="0" xr:uid="{1BA16C64-D5E2-403B-A2F3-6CC56A0EA73F}">
      <text>
        <t>[Threaded comment]
Your version of Excel allows you to read this threaded comment; however, any edits to it will get removed if the file is opened in a newer version of Excel. Learn more: https://go.microsoft.com/fwlink/?linkid=870924
Comment:
    Some criteria? “Patients who have regular, well documented episodes of eruptions of foul smelling discharge and or bleeding with a Dermatology Life Quality Index of &gt;10 do not need to seek prior approval for treatment. ” https://www.wypartnership.co.uk/application/files/9516/8907/1293/Nose_swelling_-_rhinophyma_05.2022.pdf</t>
      </text>
    </comment>
    <comment ref="T143" authorId="456" shapeId="0" xr:uid="{CD3FF768-AF8C-4F0B-9C50-16C5182BE02E}">
      <text>
        <t>[Threaded comment]
Your version of Excel allows you to read this threaded comment; however, any edits to it will get removed if the file is opened in a newer version of Excel. Learn more: https://go.microsoft.com/fwlink/?linkid=870924
Comment:
    Unable to find ref</t>
      </text>
    </comment>
    <comment ref="F144" authorId="0" shapeId="0" xr:uid="{0C857430-25BA-4A2B-B7CD-56577620C295}">
      <text>
        <r>
          <rPr>
            <b/>
            <sz val="9"/>
            <color indexed="81"/>
            <rFont val="Tahoma"/>
            <family val="2"/>
          </rPr>
          <t>Jamie Smyth:</t>
        </r>
        <r>
          <rPr>
            <sz val="9"/>
            <color indexed="81"/>
            <rFont val="Tahoma"/>
            <family val="2"/>
          </rPr>
          <t xml:space="preserve">
Trigger finger policy</t>
        </r>
      </text>
    </comment>
    <comment ref="J144" authorId="0" shapeId="0" xr:uid="{EC589106-59AB-45F3-8D3E-6DA1935B6A3E}">
      <text>
        <r>
          <rPr>
            <b/>
            <sz val="9"/>
            <color indexed="81"/>
            <rFont val="Tahoma"/>
            <family val="2"/>
          </rPr>
          <t>Jamie Smyth:</t>
        </r>
        <r>
          <rPr>
            <sz val="9"/>
            <color indexed="81"/>
            <rFont val="Tahoma"/>
            <family val="2"/>
          </rPr>
          <t xml:space="preserve">
Trigger Finger release in adults policy
</t>
        </r>
      </text>
    </comment>
    <comment ref="K144" authorId="0" shapeId="0" xr:uid="{D6CFCB3E-AAF7-4636-8A52-487025076B2B}">
      <text>
        <r>
          <rPr>
            <b/>
            <sz val="9"/>
            <color indexed="81"/>
            <rFont val="Tahoma"/>
            <family val="2"/>
          </rPr>
          <t>Jamie Smyth:</t>
        </r>
        <r>
          <rPr>
            <sz val="9"/>
            <color indexed="81"/>
            <rFont val="Tahoma"/>
            <family val="2"/>
          </rPr>
          <t xml:space="preserve">
Trigger finger release commissioned with criteria</t>
        </r>
      </text>
    </comment>
    <comment ref="AA144" authorId="0" shapeId="0" xr:uid="{A5404E95-7F14-4646-84B4-9E5529EAB358}">
      <text>
        <r>
          <rPr>
            <b/>
            <sz val="9"/>
            <color indexed="81"/>
            <rFont val="Tahoma"/>
            <family val="2"/>
          </rPr>
          <t>Jamie Smyth:</t>
        </r>
        <r>
          <rPr>
            <sz val="9"/>
            <color indexed="81"/>
            <rFont val="Tahoma"/>
            <family val="2"/>
          </rPr>
          <t xml:space="preserve">
https://www.midandsouthessex.ics.nhs.uk/publications/srp-106-trigger-finger-release-in-adults/</t>
        </r>
      </text>
    </comment>
    <comment ref="C145" authorId="0" shapeId="0" xr:uid="{57535139-D0A1-476B-A434-E1445159503E}">
      <text>
        <r>
          <rPr>
            <b/>
            <sz val="9"/>
            <color indexed="81"/>
            <rFont val="Tahoma"/>
            <family val="2"/>
          </rPr>
          <t>Jamie Smyth:</t>
        </r>
        <r>
          <rPr>
            <sz val="9"/>
            <color indexed="81"/>
            <rFont val="Tahoma"/>
            <family val="2"/>
          </rPr>
          <t xml:space="preserve">
Referenced in policy for heavy menstrual bleeding as a possible secondary care surgical consideration. ANNA: ? Would say n/a? only mentioned for consideration
</t>
        </r>
      </text>
    </comment>
    <comment ref="I145" authorId="0" shapeId="0" xr:uid="{B08BE7A5-6DDF-4A15-B1E3-07F46F7B5665}">
      <text>
        <r>
          <rPr>
            <b/>
            <sz val="9"/>
            <color indexed="81"/>
            <rFont val="Tahoma"/>
            <family val="2"/>
          </rPr>
          <t>Jamie Smyth:</t>
        </r>
        <r>
          <rPr>
            <sz val="9"/>
            <color indexed="81"/>
            <rFont val="Tahoma"/>
            <family val="2"/>
          </rPr>
          <t xml:space="preserve">
Management of Heavy Menstrual Bleeding Policy</t>
        </r>
      </text>
    </comment>
    <comment ref="J145" authorId="0" shapeId="0" xr:uid="{D9D46514-0EAF-4664-9E72-A1392495BCC4}">
      <text>
        <r>
          <rPr>
            <b/>
            <sz val="9"/>
            <color indexed="81"/>
            <rFont val="Tahoma"/>
            <family val="2"/>
          </rPr>
          <t>Jamie Smyth:</t>
        </r>
        <r>
          <rPr>
            <sz val="9"/>
            <color indexed="81"/>
            <rFont val="Tahoma"/>
            <family val="2"/>
          </rPr>
          <t xml:space="preserve">
Fibroids (myoma, leiomyoma), uterine artery embolization (UAE) policy
</t>
        </r>
      </text>
    </comment>
    <comment ref="K145" authorId="457" shapeId="0" xr:uid="{F88D39B3-4A32-4143-8566-0303ED7BC042}">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L145" authorId="458" shapeId="0" xr:uid="{B71CD4FC-AC41-4131-B98E-77682120AD00}">
      <text>
        <t>[Threaded comment]
Your version of Excel allows you to read this threaded comment; however, any edits to it will get removed if the file is opened in a newer version of Excel. Learn more: https://go.microsoft.com/fwlink/?linkid=870924
Comment:
    https://www.happyhealthylives.uk/clientfiles/files/document_library/Hysterectomy%20for%20Menorrhagia%20Policy.pdf tick</t>
      </text>
    </comment>
    <comment ref="N145" authorId="459" shapeId="0" xr:uid="{B83F4F56-0D6A-4866-9A07-B6AA8877F707}">
      <text>
        <t xml:space="preserve">[Threaded comment]
Your version of Excel allows you to read this threaded comment; however, any edits to it will get removed if the file is opened in a newer version of Excel. Learn more: https://go.microsoft.com/fwlink/?linkid=870924
Comment:
    Fibroids mentioned in policy therefore tick? Referral for the surgical management of heavy menstrual bleeding
</t>
      </text>
    </comment>
    <comment ref="P145" authorId="460" shapeId="0" xr:uid="{DF862D74-F117-4CCA-A9B7-D6FEDE6F4AB7}">
      <text>
        <t>[Threaded comment]
Your version of Excel allows you to read this threaded comment; however, any edits to it will get removed if the file is opened in a newer version of Excel. Learn more: https://go.microsoft.com/fwlink/?linkid=870924
Comment:
    https://fundingrequests.scwcsu.nhs.uk/wp-content/uploads/2024/04/BOBFPC-058-Hysterectomy-v2.0.pdf Fibroids part of indications</t>
      </text>
    </comment>
    <comment ref="Q145" authorId="461" shapeId="0" xr:uid="{CAA10AB6-37EC-41AE-87F9-86CECA842A40}">
      <text>
        <t>[Threaded comment]
Your version of Excel allows you to read this threaded comment; however, any edits to it will get removed if the file is opened in a newer version of Excel. Learn more: https://go.microsoft.com/fwlink/?linkid=870924
Comment:
    Cannot find</t>
      </text>
    </comment>
    <comment ref="T145" authorId="462" shapeId="0" xr:uid="{C4B71100-AFC6-4FD8-94B2-09B33843EC76}">
      <text>
        <t>[Threaded comment]
Your version of Excel allows you to read this threaded comment; however, any edits to it will get removed if the file is opened in a newer version of Excel. Learn more: https://go.microsoft.com/fwlink/?linkid=870924
Comment:
    ?EBI laparoscopic laser myomectomy https://www.hwics.org.uk/application/files/4417/3210/9783/ICB_Hysterectomy_for_HMB_Commissioning_Policy_V2.1_final.pdf</t>
      </text>
    </comment>
    <comment ref="X145" authorId="463" shapeId="0" xr:uid="{A0F34E5A-0569-4737-8B50-6B932D4DAC9B}">
      <text>
        <t>[Threaded comment]
Your version of Excel allows you to read this threaded comment; however, any edits to it will get removed if the file is opened in a newer version of Excel. Learn more: https://go.microsoft.com/fwlink/?linkid=870924
Comment:
    ?tick under hysteroscopy - https://www.healthierlsc.co.uk/application/files/7116/8487/3598/LSCICB_Clin41_Policy_for_Hysteroscopy_v2.1.pdf</t>
      </text>
    </comment>
    <comment ref="AA145" authorId="464" shapeId="0" xr:uid="{1595F143-D002-4696-B004-5E8AB3CA1C5B}">
      <text>
        <t>[Threaded comment]
Your version of Excel allows you to read this threaded comment; however, any edits to it will get removed if the file is opened in a newer version of Excel. Learn more: https://go.microsoft.com/fwlink/?linkid=870924
Comment:
    Tick - https://www.midandsouthessex.ics.nhs.uk/publications/srp-058-heavy-menstrual-bleeding-including-uterine-fibroids/</t>
      </text>
    </comment>
    <comment ref="AC145" authorId="0" shapeId="0" xr:uid="{738DF311-22BE-4624-A47E-344562CC76B3}">
      <text>
        <r>
          <rPr>
            <b/>
            <sz val="9"/>
            <color indexed="81"/>
            <rFont val="Tahoma"/>
            <family val="2"/>
          </rPr>
          <t>Jamie Smyth:</t>
        </r>
        <r>
          <rPr>
            <sz val="9"/>
            <color indexed="81"/>
            <rFont val="Tahoma"/>
            <family val="2"/>
          </rPr>
          <t xml:space="preserve">
8.3 Hysterectomy for heavy menstrual bleeding (HMB) </t>
        </r>
      </text>
    </comment>
    <comment ref="AE145" authorId="0" shapeId="0" xr:uid="{2BB92A08-A463-44F9-963E-11AC4BA54258}">
      <text>
        <r>
          <rPr>
            <b/>
            <sz val="9"/>
            <color indexed="81"/>
            <rFont val="Tahoma"/>
            <family val="2"/>
          </rPr>
          <t>Jamie Smyth:</t>
        </r>
        <r>
          <rPr>
            <sz val="9"/>
            <color indexed="81"/>
            <rFont val="Tahoma"/>
            <family val="2"/>
          </rPr>
          <t xml:space="preserve">
Hysterectomy for menorrhagia (heavy menstrual bleeding)   - Page 32</t>
        </r>
      </text>
    </comment>
    <comment ref="AF145" authorId="465" shapeId="0" xr:uid="{9017DE84-FD55-406A-B6AE-BD17A2A1622C}">
      <text>
        <t>[Threaded comment]
Your version of Excel allows you to read this threaded comment; however, any edits to it will get removed if the file is opened in a newer version of Excel. Learn more: https://go.microsoft.com/fwlink/?linkid=870924
Comment:
    Tick https://www.nwlondonicb.nhs.uk/application/files/6316/7664/3314/Magnetic_Resonance_Guided_Focused_Ultrasound_v7.pdf</t>
      </text>
    </comment>
    <comment ref="AJ145" authorId="466" shapeId="0" xr:uid="{9CB44C36-214D-44A3-A98C-1BD2B95D1891}">
      <text>
        <t xml:space="preserve">[Threaded comment]
Your version of Excel allows you to read this threaded comment; however, any edits to it will get removed if the file is opened in a newer version of Excel. Learn more: https://go.microsoft.com/fwlink/?linkid=870924
Comment:
    Ref to hysteroscopy for fibroids https://nhssomerset.nhs.uk/wp-content/uploads/sites/2/Hysterectomy-for-Menorrhagia-CBA-Policy-2425.v2c-20240624.pdf
</t>
      </text>
    </comment>
    <comment ref="AK145" authorId="0" shapeId="0" xr:uid="{216AEAC5-6147-42BF-B593-3A3749CA0293}">
      <text>
        <r>
          <rPr>
            <b/>
            <sz val="9"/>
            <color indexed="81"/>
            <rFont val="Tahoma"/>
            <family val="2"/>
          </rPr>
          <t>Jamie Smyth:</t>
        </r>
        <r>
          <rPr>
            <sz val="9"/>
            <color indexed="81"/>
            <rFont val="Tahoma"/>
            <family val="2"/>
          </rPr>
          <t xml:space="preserve">
2.15 Hysterectomy for heavy menstrual bleeding - Page 15</t>
        </r>
      </text>
    </comment>
    <comment ref="AN145" authorId="0" shapeId="0" xr:uid="{1AF950E0-ADE1-46F3-8D90-9D89423BF5AC}">
      <text>
        <r>
          <rPr>
            <b/>
            <sz val="9"/>
            <color indexed="81"/>
            <rFont val="Tahoma"/>
            <family val="2"/>
          </rPr>
          <t>Jamie Smyth:</t>
        </r>
        <r>
          <rPr>
            <sz val="9"/>
            <color indexed="81"/>
            <rFont val="Tahoma"/>
            <family val="2"/>
          </rPr>
          <t xml:space="preserve">
Hysterectomy for Heavy Menstrual Bleeding - Page 110</t>
        </r>
      </text>
    </comment>
    <comment ref="AO145" authorId="0" shapeId="0" xr:uid="{73885455-EE82-41A1-9F4D-746B2ADA00D9}">
      <text>
        <r>
          <rPr>
            <b/>
            <sz val="9"/>
            <color indexed="81"/>
            <rFont val="Tahoma"/>
            <family val="2"/>
          </rPr>
          <t>Jamie Smyth:</t>
        </r>
        <r>
          <rPr>
            <sz val="9"/>
            <color indexed="81"/>
            <rFont val="Tahoma"/>
            <family val="2"/>
          </rPr>
          <t xml:space="preserve">
https://www.surreyheartlands.org/tnrf2-gynaecology
Hysterectomy for heavy menstrual bleeding (partial or total surgical removal of the uterus)
Uterine Artery Embolisation for Fibroids in women (procedure to shrink noncancerous tumours in the uterus)</t>
        </r>
      </text>
    </comment>
    <comment ref="AQ145" authorId="0" shapeId="0" xr:uid="{8984E4EF-FB17-4510-A1AE-E804DC9210DF}">
      <text>
        <r>
          <rPr>
            <b/>
            <sz val="9"/>
            <color indexed="81"/>
            <rFont val="Tahoma"/>
            <family val="2"/>
          </rPr>
          <t>Jamie Smyth:</t>
        </r>
        <r>
          <rPr>
            <sz val="9"/>
            <color indexed="81"/>
            <rFont val="Tahoma"/>
            <family val="2"/>
          </rPr>
          <t xml:space="preserve">
Hysterectomy for heavy menstrual bleeding (04.2019) policy</t>
        </r>
      </text>
    </comment>
    <comment ref="E146" authorId="0" shapeId="0" xr:uid="{5523B752-4B94-4766-A3B8-8CCE459B1BC3}">
      <text>
        <r>
          <rPr>
            <b/>
            <sz val="9"/>
            <color indexed="81"/>
            <rFont val="Tahoma"/>
            <family val="2"/>
          </rPr>
          <t>Jamie Smyth:</t>
        </r>
        <r>
          <rPr>
            <sz val="9"/>
            <color indexed="81"/>
            <rFont val="Tahoma"/>
            <family val="2"/>
          </rPr>
          <t xml:space="preserve">
Covered under "Varicose Veins" policy in vascular section</t>
        </r>
      </text>
    </comment>
    <comment ref="F146" authorId="0" shapeId="0" xr:uid="{2961EFF3-9A3F-4B95-AA14-5E51D22262F3}">
      <text>
        <r>
          <rPr>
            <b/>
            <sz val="9"/>
            <color indexed="81"/>
            <rFont val="Tahoma"/>
            <family val="2"/>
          </rPr>
          <t>Jamie Smyth:</t>
        </r>
        <r>
          <rPr>
            <sz val="9"/>
            <color indexed="81"/>
            <rFont val="Tahoma"/>
            <family val="2"/>
          </rPr>
          <t xml:space="preserve">
Covered under Tonsillectomy policy</t>
        </r>
      </text>
    </comment>
    <comment ref="AA146" authorId="0" shapeId="0" xr:uid="{822F0E15-240F-472C-A13A-DAA5F7CC3880}">
      <text>
        <r>
          <rPr>
            <b/>
            <sz val="9"/>
            <color indexed="81"/>
            <rFont val="Tahoma"/>
            <family val="2"/>
          </rPr>
          <t>Jamie Smyth:</t>
        </r>
        <r>
          <rPr>
            <sz val="9"/>
            <color indexed="81"/>
            <rFont val="Tahoma"/>
            <family val="2"/>
          </rPr>
          <t xml:space="preserve">
https://www.midandsouthessex.ics.nhs.uk/publications/srp-109-varicose-veins/</t>
        </r>
      </text>
    </comment>
    <comment ref="J147" authorId="467" shapeId="0" xr:uid="{320C18AC-3D28-4DC2-B04D-B7F6D8A79B9A}">
      <text>
        <t>[Threaded comment]
Your version of Excel allows you to read this threaded comment; however, any edits to it will get removed if the file is opened in a newer version of Excel. Learn more: https://go.microsoft.com/fwlink/?linkid=870924
Comment:
    ?tick https://cheshireandmerseyside.nhs.uk/media/j4pcd1gu/pol-clin110-erectiledys-v1-final.pdf</t>
      </text>
    </comment>
    <comment ref="K147" authorId="468" shapeId="0" xr:uid="{01F90D05-4721-4DE9-9412-2DD2B120F327}">
      <text>
        <t>[Threaded comment]
Your version of Excel allows you to read this threaded comment; however, any edits to it will get removed if the file is opened in a newer version of Excel. Learn more: https://go.microsoft.com/fwlink/?linkid=870924
Comment:
    Not routinely commissioned https://docs.cios.icb.nhs.uk/DocumentsLibrary/NHSCornwallAndIslesOfScilly/Services/IndividualFundingRequests/CommissioningPolicies.pdf</t>
      </text>
    </comment>
    <comment ref="T147" authorId="469" shapeId="0" xr:uid="{F27FAB66-44E5-41F9-AFAE-6CC96FD85E51}">
      <text>
        <t>[Threaded comment]
Your version of Excel allows you to read this threaded comment; however, any edits to it will get removed if the file is opened in a newer version of Excel. Learn more: https://go.microsoft.com/fwlink/?linkid=870924
Comment:
    Unable to find ref</t>
      </text>
    </comment>
    <comment ref="AI147" authorId="470" shapeId="0" xr:uid="{69595BFF-7383-4372-850E-27920FEF6D94}">
      <text>
        <t>[Threaded comment]
Your version of Excel allows you to read this threaded comment; however, any edits to it will get removed if the file is opened in a newer version of Excel. Learn more: https://go.microsoft.com/fwlink/?linkid=870924
Comment:
    Tick - “In patients with Peyronie’s disease and erectile dysfunction is not responding to medical treatments, the surgical correction of the curvature with concomitant penile prosthesis implantation should be considered ”</t>
      </text>
    </comment>
    <comment ref="F148" authorId="0" shapeId="0" xr:uid="{E209465A-5054-4DFA-B20F-54C6C760A4AF}">
      <text>
        <r>
          <rPr>
            <b/>
            <sz val="9"/>
            <color indexed="81"/>
            <rFont val="Tahoma"/>
            <family val="2"/>
          </rPr>
          <t>Jamie Smyth:</t>
        </r>
        <r>
          <rPr>
            <sz val="9"/>
            <color indexed="81"/>
            <rFont val="Tahoma"/>
            <family val="2"/>
          </rPr>
          <t xml:space="preserve">
Cosmetic surgery policy . AO unable to find</t>
        </r>
      </text>
    </comment>
    <comment ref="G148" authorId="0" shapeId="0" xr:uid="{340C0514-3BAE-4FF2-8DBD-E45152129DE2}">
      <text>
        <r>
          <rPr>
            <b/>
            <sz val="9"/>
            <color indexed="81"/>
            <rFont val="Tahoma"/>
            <family val="2"/>
          </rPr>
          <t>Jamie Smyth:</t>
        </r>
        <r>
          <rPr>
            <sz val="9"/>
            <color indexed="81"/>
            <rFont val="Tahoma"/>
            <family val="2"/>
          </rPr>
          <t xml:space="preserve">
Briefly mentioned in Breast surgery policies </t>
        </r>
      </text>
    </comment>
    <comment ref="H148" authorId="0" shapeId="0" xr:uid="{5852471C-5B57-4755-B07C-6F7D549D837B}">
      <text>
        <r>
          <rPr>
            <b/>
            <sz val="9"/>
            <color indexed="81"/>
            <rFont val="Tahoma"/>
            <family val="2"/>
          </rPr>
          <t>Jamie Smyth:</t>
        </r>
        <r>
          <rPr>
            <sz val="9"/>
            <color indexed="81"/>
            <rFont val="Tahoma"/>
            <family val="2"/>
          </rPr>
          <t xml:space="preserve">
Aesthetic Treatments for Adults and Children  policy</t>
        </r>
      </text>
    </comment>
    <comment ref="K148" authorId="0" shapeId="0" xr:uid="{8B299D4E-5940-426C-8611-84477E9F2B1B}">
      <text>
        <r>
          <rPr>
            <b/>
            <sz val="9"/>
            <color indexed="81"/>
            <rFont val="Tahoma"/>
            <family val="2"/>
          </rPr>
          <t>Jamie Smyth:</t>
        </r>
        <r>
          <rPr>
            <sz val="9"/>
            <color indexed="81"/>
            <rFont val="Tahoma"/>
            <family val="2"/>
          </rPr>
          <t xml:space="preserve">
Not routinely commissioned</t>
        </r>
      </text>
    </comment>
    <comment ref="O148" authorId="471" shapeId="0" xr:uid="{360D8BAA-C221-4760-8291-F6945AE733FB}">
      <text>
        <t>[Threaded comment]
Your version of Excel allows you to read this threaded comment; however, any edits to it will get removed if the file is opened in a newer version of Excel. Learn more: https://go.microsoft.com/fwlink/?linkid=870924
Comment:
    Unable to find</t>
      </text>
    </comment>
    <comment ref="P148" authorId="0" shapeId="0" xr:uid="{ED51EED2-F20A-4009-9AF2-9148BC29A718}">
      <text>
        <r>
          <rPr>
            <b/>
            <sz val="9"/>
            <color indexed="81"/>
            <rFont val="Tahoma"/>
            <family val="2"/>
          </rPr>
          <t>Jamie Smyth:</t>
        </r>
        <r>
          <rPr>
            <sz val="9"/>
            <color indexed="81"/>
            <rFont val="Tahoma"/>
            <family val="2"/>
          </rPr>
          <t xml:space="preserve">
Cosmetic Surgery policy</t>
        </r>
      </text>
    </comment>
    <comment ref="AI148" authorId="0" shapeId="0" xr:uid="{F14DAA39-1AE5-4B54-9A06-17B2557AC8B7}">
      <text>
        <r>
          <rPr>
            <b/>
            <sz val="9"/>
            <color indexed="81"/>
            <rFont val="Tahoma"/>
            <family val="2"/>
          </rPr>
          <t>Jamie Smyth:</t>
        </r>
        <r>
          <rPr>
            <sz val="9"/>
            <color indexed="81"/>
            <rFont val="Tahoma"/>
            <family val="2"/>
          </rPr>
          <t xml:space="preserve">
Page 12 - Cosmetic/Aesthetic procedures</t>
        </r>
      </text>
    </comment>
    <comment ref="AL148" authorId="0" shapeId="0" xr:uid="{47BEDB51-F2E2-4147-B01B-F2867A5C32D1}">
      <text>
        <r>
          <rPr>
            <b/>
            <sz val="9"/>
            <color indexed="81"/>
            <rFont val="Tahoma"/>
            <family val="2"/>
          </rPr>
          <t>Jamie Smyth:</t>
        </r>
        <r>
          <rPr>
            <sz val="9"/>
            <color indexed="81"/>
            <rFont val="Tahoma"/>
            <family val="2"/>
          </rPr>
          <t xml:space="preserve">
Appendix 3 - Page 125</t>
        </r>
      </text>
    </comment>
    <comment ref="F149" authorId="0" shapeId="0" xr:uid="{5DBD3989-E582-4C2D-BA8A-B75869C44025}">
      <text>
        <r>
          <rPr>
            <b/>
            <sz val="9"/>
            <color indexed="81"/>
            <rFont val="Tahoma"/>
            <family val="2"/>
          </rPr>
          <t>Jamie Smyth:</t>
        </r>
        <r>
          <rPr>
            <sz val="9"/>
            <color indexed="81"/>
            <rFont val="Tahoma"/>
            <family val="2"/>
          </rPr>
          <t xml:space="preserve">
Hysterectomy for HMB policy</t>
        </r>
      </text>
    </comment>
    <comment ref="H149" authorId="0" shapeId="0" xr:uid="{E9F004C6-FE28-476C-ADC8-2D16BB1764A0}">
      <text>
        <r>
          <rPr>
            <b/>
            <sz val="9"/>
            <color indexed="81"/>
            <rFont val="Tahoma"/>
            <family val="2"/>
          </rPr>
          <t>Jamie Smyth:</t>
        </r>
        <r>
          <rPr>
            <sz val="9"/>
            <color indexed="81"/>
            <rFont val="Tahoma"/>
            <family val="2"/>
          </rPr>
          <t xml:space="preserve">
Aesthetic Treatments for Adults and Children  policy</t>
        </r>
      </text>
    </comment>
    <comment ref="J149" authorId="472" shapeId="0" xr:uid="{916FDC83-1642-4050-A8FF-A62E2AB7415B}">
      <text>
        <t>[Threaded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https://www.cheshireandmerseyside.nhs.uk/media/u11fcbxf/pol-clin101-pinnaplasty-final-v04.pdf</t>
      </text>
    </comment>
    <comment ref="M149" authorId="0" shapeId="0" xr:uid="{55465E0A-4CAD-43BD-9B2F-FC13AD2A04C2}">
      <text>
        <r>
          <rPr>
            <b/>
            <sz val="9"/>
            <color indexed="81"/>
            <rFont val="Tahoma"/>
            <family val="2"/>
          </rPr>
          <t>Jamie Smyth:</t>
        </r>
        <r>
          <rPr>
            <sz val="9"/>
            <color indexed="81"/>
            <rFont val="Tahoma"/>
            <family val="2"/>
          </rPr>
          <t xml:space="preserve">
Pinnaplasty policy</t>
        </r>
      </text>
    </comment>
    <comment ref="P149" authorId="0" shapeId="0" xr:uid="{67A0E495-FFD6-472F-B4E2-DAF43E11352D}">
      <text>
        <r>
          <rPr>
            <b/>
            <sz val="9"/>
            <color indexed="81"/>
            <rFont val="Tahoma"/>
            <family val="2"/>
          </rPr>
          <t>Jamie Smyth:</t>
        </r>
        <r>
          <rPr>
            <sz val="9"/>
            <color indexed="81"/>
            <rFont val="Tahoma"/>
            <family val="2"/>
          </rPr>
          <t xml:space="preserve">
Cosmetic Surgery policy</t>
        </r>
      </text>
    </comment>
    <comment ref="Q149" authorId="473" shapeId="0" xr:uid="{675AB0B1-761C-42DB-84E2-9243339A65FD}">
      <text>
        <t>[Threaded comment]
Your version of Excel allows you to read this threaded comment; however, any edits to it will get removed if the file is opened in a newer version of Excel. Learn more: https://go.microsoft.com/fwlink/?linkid=870924
Comment:
    IFR https://www.nhsglos.nhs.uk/wp-content/uploads/2023/07/Facial-Procedures.pdf</t>
      </text>
    </comment>
    <comment ref="R149" authorId="474" shapeId="0" xr:uid="{B8653D9C-15E9-4912-8162-FA8193BC4C45}">
      <text>
        <t>[Threaded comment]
Your version of Excel allows you to read this threaded comment; however, any edits to it will get removed if the file is opened in a newer version of Excel. Learn more: https://go.microsoft.com/fwlink/?linkid=870924
Comment:
    2. Surgery below the age of 5 should only be offered if correction of prominence will help in retaining hearing aids securely, in children for whom they are required. 3. This procedure/treatment is not routinely commissioned for adults over the age of 18 years. http://nhsgmgmicbsa.blob.core.windows.net/nhsgmgmicbblobstorage/GMEUR/Commissioning%20Statements/GM%20Pinnaplasty%20Commissioning%20Statement.pdf</t>
      </text>
    </comment>
    <comment ref="Z149" authorId="475" shapeId="0" xr:uid="{AF9CFEEE-1549-44F7-A5DF-1056B77EEA63}">
      <text>
        <t>[Threaded comment]
Your version of Excel allows you to read this threaded comment; however, any edits to it will get removed if the file is opened in a newer version of Excel. Learn more: https://go.microsoft.com/fwlink/?linkid=870924
Comment:
    IFR</t>
      </text>
    </comment>
    <comment ref="AA149" authorId="0" shapeId="0" xr:uid="{8E6D6232-C7FF-46FE-B14A-726FD72AE7BB}">
      <text>
        <r>
          <rPr>
            <b/>
            <sz val="9"/>
            <color indexed="81"/>
            <rFont val="Tahoma"/>
            <family val="2"/>
          </rPr>
          <t>Jamie Smyth:</t>
        </r>
        <r>
          <rPr>
            <sz val="9"/>
            <color indexed="81"/>
            <rFont val="Tahoma"/>
            <family val="2"/>
          </rPr>
          <t xml:space="preserve">
https://www.midandsouthessex.ics.nhs.uk/publications/srp-079-pinnaplasty-otoplasty/</t>
        </r>
      </text>
    </comment>
    <comment ref="AI149" authorId="0" shapeId="0" xr:uid="{01F68015-8917-48C6-9EB2-EC25EFC5F1D3}">
      <text>
        <r>
          <rPr>
            <b/>
            <sz val="9"/>
            <color indexed="81"/>
            <rFont val="Tahoma"/>
            <family val="2"/>
          </rPr>
          <t>Jamie Smyth:</t>
        </r>
        <r>
          <rPr>
            <sz val="9"/>
            <color indexed="81"/>
            <rFont val="Tahoma"/>
            <family val="2"/>
          </rPr>
          <t xml:space="preserve">
Page 12 - Cosmetic/Aesthetic procedures</t>
        </r>
      </text>
    </comment>
    <comment ref="AJ149" authorId="0" shapeId="0" xr:uid="{5E299759-1B6D-4AE9-8510-1155B4C7F2C7}">
      <text>
        <r>
          <rPr>
            <b/>
            <sz val="9"/>
            <color indexed="81"/>
            <rFont val="Tahoma"/>
            <family val="2"/>
          </rPr>
          <t>Jamie Smyth:</t>
        </r>
        <r>
          <rPr>
            <sz val="9"/>
            <color indexed="81"/>
            <rFont val="Tahoma"/>
            <family val="2"/>
          </rPr>
          <t xml:space="preserve">
Congenital Ear Deformity Correction Surgery Policy</t>
        </r>
      </text>
    </comment>
    <comment ref="AL149" authorId="476" shapeId="0" xr:uid="{730FD49D-62DC-4A64-BF29-6110F395BEA1}">
      <text>
        <t>[Threaded comment]
Your version of Excel allows you to read this threaded comment; however, any edits to it will get removed if the file is opened in a newer version of Excel. Learn more: https://go.microsoft.com/fwlink/?linkid=870924
Comment:
    I think IFR, but gives criteria for IFR “Surgical correction of prominent ears will not be routinely commissioned by the NHS for cosmetic reasons. Cases may be considered on an exceptional basis, for example where the patient: • is aged 5-19 at the time of referral and the child ( ”</t>
      </text>
    </comment>
    <comment ref="C150" authorId="477" shapeId="0" xr:uid="{A9323B5E-0F38-44CD-8880-CFF0182B3D37}">
      <text>
        <t>[Threaded comment]
Your version of Excel allows you to read this threaded comment; however, any edits to it will get removed if the file is opened in a newer version of Excel. Learn more: https://go.microsoft.com/fwlink/?linkid=870924
Comment:
    Only pinnaplasty? N/A for lobules - cannot find lobe policy</t>
      </text>
    </comment>
    <comment ref="F150" authorId="0" shapeId="0" xr:uid="{90018FCD-CBCC-411C-916C-A817DF77906F}">
      <text>
        <r>
          <rPr>
            <b/>
            <sz val="9"/>
            <color indexed="81"/>
            <rFont val="Tahoma"/>
            <family val="2"/>
          </rPr>
          <t>Jamie Smyth:</t>
        </r>
        <r>
          <rPr>
            <sz val="9"/>
            <color indexed="81"/>
            <rFont val="Tahoma"/>
            <family val="2"/>
          </rPr>
          <t xml:space="preserve">
Hysterectomy for HMB policy</t>
        </r>
      </text>
    </comment>
    <comment ref="H150" authorId="0" shapeId="0" xr:uid="{9E471D43-1675-4D54-B0BA-3138FD8B3BD6}">
      <text>
        <r>
          <rPr>
            <b/>
            <sz val="9"/>
            <color indexed="81"/>
            <rFont val="Tahoma"/>
            <family val="2"/>
          </rPr>
          <t>Jamie Smyth:</t>
        </r>
        <r>
          <rPr>
            <sz val="9"/>
            <color indexed="81"/>
            <rFont val="Tahoma"/>
            <family val="2"/>
          </rPr>
          <t xml:space="preserve">
Aesthetic Treatments for Adults and Children  policy</t>
        </r>
      </text>
    </comment>
    <comment ref="I150" authorId="0" shapeId="0" xr:uid="{FCCA01F4-8E94-4850-870D-A2A1E253D5BF}">
      <text>
        <r>
          <rPr>
            <b/>
            <sz val="9"/>
            <color indexed="81"/>
            <rFont val="Tahoma"/>
            <family val="2"/>
          </rPr>
          <t>Jamie Smyth:</t>
        </r>
        <r>
          <rPr>
            <sz val="9"/>
            <color indexed="81"/>
            <rFont val="Tahoma"/>
            <family val="2"/>
          </rPr>
          <t xml:space="preserve">
Pinnaplasty/Otoplasty
Not routinely funded.
</t>
        </r>
      </text>
    </comment>
    <comment ref="P150" authorId="0" shapeId="0" xr:uid="{477949FC-930B-43A8-9E6E-C035371CCF04}">
      <text>
        <r>
          <rPr>
            <b/>
            <sz val="9"/>
            <color indexed="81"/>
            <rFont val="Tahoma"/>
            <family val="2"/>
          </rPr>
          <t>Jamie Smyth:</t>
        </r>
        <r>
          <rPr>
            <sz val="9"/>
            <color indexed="81"/>
            <rFont val="Tahoma"/>
            <family val="2"/>
          </rPr>
          <t xml:space="preserve">
Cosmetic Surgery policy</t>
        </r>
      </text>
    </comment>
    <comment ref="R150" authorId="478" shapeId="0" xr:uid="{E01781CA-CFF2-4D5C-8619-5AA59BBF4048}">
      <text>
        <t>[Threaded comment]
Your version of Excel allows you to read this threaded comment; however, any edits to it will get removed if the file is opened in a newer version of Excel. Learn more: https://go.microsoft.com/fwlink/?linkid=870924
Comment:
    1. Repair of split ear lobes is commissioned where the ear lobes have split as a result of direct trauma.  https://nhsgmgmicbsa.blob.core.windows.net/nhsgmgmicbblobstorage/GMEUR/Commissioning%20Statements/GM%20Repair%20of%20Split%20Torn%20Ear%20Lobes%20Commissioning%20Statement.pdf</t>
      </text>
    </comment>
    <comment ref="W150" authorId="479" shapeId="0" xr:uid="{1FB90821-6438-475D-92B3-CF324F1A8035}">
      <text>
        <t>[Threaded comment]
Your version of Excel allows you to read this threaded comment; however, any edits to it will get removed if the file is opened in a newer version of Excel. Learn more: https://go.microsoft.com/fwlink/?linkid=870924
Comment:
    Tick “Surgery to repair the lobe of external ear is not routinely funded except for completely split ear lobes as a result of direct trauma ” https://www.kentandmedway.icb.nhs.uk/application/files/9817/1292/6708/KM_RaTC_April_2024.pdf</t>
      </text>
    </comment>
    <comment ref="AA150" authorId="0" shapeId="0" xr:uid="{BF6807F5-D54D-464E-8D89-BC14FF69EC3B}">
      <text>
        <r>
          <rPr>
            <b/>
            <sz val="9"/>
            <color indexed="81"/>
            <rFont val="Tahoma"/>
            <family val="2"/>
          </rPr>
          <t>Jamie Smyth:</t>
        </r>
        <r>
          <rPr>
            <sz val="9"/>
            <color indexed="81"/>
            <rFont val="Tahoma"/>
            <family val="2"/>
          </rPr>
          <t xml:space="preserve">
https://www.midandsouthessex.ics.nhs.uk/publications/046-facial-surgery-aesthetic-cosmetic/
AO: immediate is funded, post immediate trauma is not funded https://www.midandsouthessex.ics.nhs.uk/publications/srp-082-repair-of-ear-lobes/</t>
        </r>
      </text>
    </comment>
    <comment ref="AI150" authorId="0" shapeId="0" xr:uid="{B542CA27-7565-45EF-822F-821571BEC723}">
      <text>
        <r>
          <rPr>
            <b/>
            <sz val="9"/>
            <color indexed="81"/>
            <rFont val="Tahoma"/>
            <family val="2"/>
          </rPr>
          <t>Jamie Smyth:</t>
        </r>
        <r>
          <rPr>
            <sz val="9"/>
            <color indexed="81"/>
            <rFont val="Tahoma"/>
            <family val="2"/>
          </rPr>
          <t xml:space="preserve">
Page 12 - Cosmetic/Aesthetic procedures</t>
        </r>
      </text>
    </comment>
    <comment ref="AQ150" authorId="480" shapeId="0" xr:uid="{8FCD66D5-2BBC-4579-A970-5F732FCE70E3}">
      <text>
        <t>[Threaded comment]
Your version of Excel allows you to read this threaded comment; however, any edits to it will get removed if the file is opened in a newer version of Excel. Learn more: https://go.microsoft.com/fwlink/?linkid=870924
Comment:
    Tick for trauma https://www.wypartnership.co.uk/application/files/1516/8907/1281/Earlobe_repair_12.2021.pdf</t>
      </text>
    </comment>
    <comment ref="C151" authorId="481" shapeId="0" xr:uid="{E6844650-D44F-4E10-B622-83DFDA0E2DCD}">
      <text>
        <t>[Threaded comment]
Your version of Excel allows you to read this threaded comment; however, any edits to it will get removed if the file is opened in a newer version of Excel. Learn more: https://go.microsoft.com/fwlink/?linkid=870924
Comment:
    Unable to find</t>
      </text>
    </comment>
    <comment ref="F151" authorId="0" shapeId="0" xr:uid="{6E7E35C0-993A-4755-884F-EFC5D3F80D02}">
      <text>
        <r>
          <rPr>
            <b/>
            <sz val="9"/>
            <color indexed="81"/>
            <rFont val="Tahoma"/>
            <family val="2"/>
          </rPr>
          <t>Jamie Smyth:</t>
        </r>
        <r>
          <rPr>
            <sz val="9"/>
            <color indexed="81"/>
            <rFont val="Tahoma"/>
            <family val="2"/>
          </rPr>
          <t xml:space="preserve">
Tattoo removal policy</t>
        </r>
      </text>
    </comment>
    <comment ref="J151" authorId="482" shapeId="0" xr:uid="{70B94C9B-5C00-481A-890B-9409F4422987}">
      <text>
        <t>[Threaded comment]
Your version of Excel allows you to read this threaded comment; however, any edits to it will get removed if the file is opened in a newer version of Excel. Learn more: https://go.microsoft.com/fwlink/?linkid=870924
Comment:
    IFR https://www.cheshireandmerseyside.nhs.uk/media/e3eemysw/pol-clin056-tattoo-laser-removal-final-v04.pdf</t>
      </text>
    </comment>
    <comment ref="L151" authorId="0" shapeId="0" xr:uid="{3C16B0A0-2338-46E2-AE1C-4B4D25906EC3}">
      <text>
        <r>
          <rPr>
            <b/>
            <sz val="9"/>
            <color indexed="81"/>
            <rFont val="Tahoma"/>
            <family val="2"/>
          </rPr>
          <t>Jamie Smyth:</t>
        </r>
        <r>
          <rPr>
            <sz val="9"/>
            <color indexed="81"/>
            <rFont val="Tahoma"/>
            <family val="2"/>
          </rPr>
          <t xml:space="preserve">
Treatments Designed to Improve Aesthetic Appearance Policy</t>
        </r>
      </text>
    </comment>
    <comment ref="M151" authorId="483" shapeId="0" xr:uid="{87FED25A-2956-4CDE-82E6-B2F017F4ED95}">
      <text>
        <t>[Threaded comment]
Your version of Excel allows you to read this threaded comment; however, any edits to it will get removed if the file is opened in a newer version of Excel. Learn more: https://go.microsoft.com/fwlink/?linkid=870924
Comment:
    Criteria based https://www.derbyshiremedicinesmanagement.nhs.uk/assets/Clinical-Policies/Clinical_Policies/Cosmetic/cosmetic/Laser_Treatment_for_Skin_Conditions.pdf</t>
      </text>
    </comment>
    <comment ref="P151" authorId="0" shapeId="0" xr:uid="{E93FABBD-85E6-4561-8892-A1106E272BE6}">
      <text>
        <r>
          <rPr>
            <b/>
            <sz val="9"/>
            <color indexed="81"/>
            <rFont val="Tahoma"/>
            <family val="2"/>
          </rPr>
          <t>Jamie Smyth:</t>
        </r>
        <r>
          <rPr>
            <sz val="9"/>
            <color indexed="81"/>
            <rFont val="Tahoma"/>
            <family val="2"/>
          </rPr>
          <t xml:space="preserve">
Cosmetic Surgery policy</t>
        </r>
      </text>
    </comment>
    <comment ref="R151" authorId="484" shapeId="0" xr:uid="{E78C2D13-EA87-4D24-AC6C-79F6EBD7DBB0}">
      <text>
        <t>[Threaded comment]
Your version of Excel allows you to read this threaded comment; however, any edits to it will get removed if the file is opened in a newer version of Excel. Learn more: https://go.microsoft.com/fwlink/?linkid=870924
Comment:
    Criteria https://nhsgmgmicbsa.blob.core.windows.net/nhsgmgmicbblobstorage/GMEUR/Commissioning%20Statements/GM%20Tattoo%20Removal%20Commissioning%20Statement.pdf</t>
      </text>
    </comment>
    <comment ref="V151" authorId="485" shapeId="0" xr:uid="{08215EC9-C9A9-47D3-9B89-0CD86C1806BF}">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https://humberandnorthyorkshire.icb.nhs.uk/wp-content/uploads/2024/12/Tattoo-Removal.docx</t>
      </text>
    </comment>
    <comment ref="Y151" authorId="0" shapeId="0" xr:uid="{B36C3E01-F873-4E8B-A01B-22F4631C2985}">
      <text>
        <r>
          <rPr>
            <b/>
            <sz val="9"/>
            <color indexed="81"/>
            <rFont val="Tahoma"/>
            <family val="2"/>
          </rPr>
          <t>Jamie Smyth:</t>
        </r>
        <r>
          <rPr>
            <sz val="9"/>
            <color indexed="81"/>
            <rFont val="Tahoma"/>
            <family val="2"/>
          </rPr>
          <t xml:space="preserve">
LLR Policy for Laser Treatment</t>
        </r>
      </text>
    </comment>
    <comment ref="Z151" authorId="0" shapeId="0" xr:uid="{F0DA7575-950B-4459-98FB-276CB37B56F6}">
      <text>
        <r>
          <rPr>
            <b/>
            <sz val="9"/>
            <color indexed="81"/>
            <rFont val="Tahoma"/>
            <family val="2"/>
          </rPr>
          <t>Jamie Smyth:</t>
        </r>
        <r>
          <rPr>
            <sz val="9"/>
            <color indexed="81"/>
            <rFont val="Tahoma"/>
            <family val="2"/>
          </rPr>
          <t xml:space="preserve">
Tattoo removal funded for specific criteria - Tattoo removal, but only for tattoos which are less than a year old and either iatrogenic e.g., radiotherapy tattoo and dirt tattoo or inflicted without patient consent</t>
        </r>
      </text>
    </comment>
    <comment ref="AA151" authorId="0" shapeId="0" xr:uid="{915F84E6-BECA-42E5-8BE7-DC2C40AC5F93}">
      <text>
        <r>
          <rPr>
            <b/>
            <sz val="9"/>
            <color indexed="81"/>
            <rFont val="Tahoma"/>
            <family val="2"/>
          </rPr>
          <t>Jamie Smyth:</t>
        </r>
        <r>
          <rPr>
            <sz val="9"/>
            <color indexed="81"/>
            <rFont val="Tahoma"/>
            <family val="2"/>
          </rPr>
          <t xml:space="preserve">
https://www.midandsouthessex.ics.nhs.uk/publications/srp-098-tattoo-removal/</t>
        </r>
      </text>
    </comment>
    <comment ref="AH151" authorId="486" shapeId="0" xr:uid="{8F156ABC-3418-4D8F-B749-56800495A183}">
      <text>
        <t>[Threaded comment]
Your version of Excel allows you to read this threaded comment; however, any edits to it will get removed if the file is opened in a newer version of Excel. Learn more: https://go.microsoft.com/fwlink/?linkid=870924
Comment:
    Tick - Tattoo removal if one of the following two criteria are met: o Iatrogenic o Result of trauma inflicted against the will of the patient where referral for removal has been sought within one year of the tattoo being performed https://notts.icb.nhs.uk/wp-content/uploads/sites/2/2022/04/Value-Based-Commissioning-PolicyV1.4-2.pdf</t>
      </text>
    </comment>
    <comment ref="AI151" authorId="0" shapeId="0" xr:uid="{A9BE5FA4-B2EA-40C8-B4DB-D0A081D4A7EA}">
      <text>
        <r>
          <rPr>
            <b/>
            <sz val="9"/>
            <color indexed="81"/>
            <rFont val="Tahoma"/>
            <family val="2"/>
          </rPr>
          <t>Jamie Smyth:</t>
        </r>
        <r>
          <rPr>
            <sz val="9"/>
            <color indexed="81"/>
            <rFont val="Tahoma"/>
            <family val="2"/>
          </rPr>
          <t xml:space="preserve">
Page 12 - Cosmetic/Aesthetic procedures</t>
        </r>
      </text>
    </comment>
    <comment ref="AL151" authorId="487" shapeId="0" xr:uid="{6E051928-49B9-4249-ABC3-38D3796A3326}">
      <text>
        <t>[Threaded comment]
Your version of Excel allows you to read this threaded comment; however, any edits to it will get removed if the file is opened in a newer version of Excel. Learn more: https://go.microsoft.com/fwlink/?linkid=870924
Comment:
    Same issue here “Tattoo removal will not be routinely commissioned by the NHS. Cases may be considered on an exceptional basis, for example where the patient: • has suffered a significant allergic reaction to the dye and medical treatments have failed • has been given a tattoo against their will (rape tattoo) ”</t>
      </text>
    </comment>
    <comment ref="AM151" authorId="0" shapeId="0" xr:uid="{D90D93E6-41BF-451D-9CCD-3204B9E2DFE2}">
      <text>
        <r>
          <rPr>
            <b/>
            <sz val="9"/>
            <color indexed="81"/>
            <rFont val="Tahoma"/>
            <family val="2"/>
          </rPr>
          <t>Jamie Smyth:</t>
        </r>
        <r>
          <rPr>
            <sz val="9"/>
            <color indexed="81"/>
            <rFont val="Tahoma"/>
            <family val="2"/>
          </rPr>
          <t xml:space="preserve">
Tattoo removal. Not routinely commissioned . Page 23</t>
        </r>
      </text>
    </comment>
    <comment ref="T152" authorId="488" shapeId="0" xr:uid="{6BC99757-60DE-4E17-BA7C-5FEAA78C24F0}">
      <text>
        <t>[Threaded comment]
Your version of Excel allows you to read this threaded comment; however, any edits to it will get removed if the file is opened in a newer version of Excel. Learn more: https://go.microsoft.com/fwlink/?linkid=870924
Comment:
    Cannot find ref</t>
      </text>
    </comment>
    <comment ref="G153" authorId="489" shapeId="0" xr:uid="{84C212BC-A982-4810-9817-37514F24538A}">
      <text>
        <t>[Threaded comment]
Your version of Excel allows you to read this threaded comment; however, any edits to it will get removed if the file is opened in a newer version of Excel. Learn more: https://go.microsoft.com/fwlink/?linkid=870924
Comment:
    Unable to find</t>
      </text>
    </comment>
    <comment ref="K153" authorId="490" shapeId="0" xr:uid="{CCDC29DE-1DFD-462C-BCA8-7B12C9923ACD}">
      <text>
        <t>[Threaded comment]
Your version of Excel allows you to read this threaded comment; however, any edits to it will get removed if the file is opened in a newer version of Excel. Learn more: https://go.microsoft.com/fwlink/?linkid=870924
Comment:
    Cannot find only botox for hyperhidrosis https://docs.cios.icb.nhs.uk/DocumentsLibrary/NHSCornwallAndIslesOfScilly/Services/IndividualFundingRequests/CommissioningPolicies.pdf</t>
      </text>
    </comment>
    <comment ref="T153" authorId="491" shapeId="0" xr:uid="{015EE16B-E8DC-4630-9C72-02CCB9EE1C43}">
      <text>
        <t>[Threaded comment]
Your version of Excel allows you to read this threaded comment; however, any edits to it will get removed if the file is opened in a newer version of Excel. Learn more: https://go.microsoft.com/fwlink/?linkid=870924
Comment:
    Mentioned in hyperhidrosis so IFR? https://www.hwics.org.uk/application/files/9617/0186/0193/ICB_Aesthetic_Treatment__Surgery_v1.4_Final.pdf</t>
      </text>
    </comment>
    <comment ref="AA153" authorId="492" shapeId="0" xr:uid="{65ABAC5A-DC20-42DF-9F6F-0C42FE1046D0}">
      <text>
        <t>[Threaded comment]
Your version of Excel allows you to read this threaded comment; however, any edits to it will get removed if the file is opened in a newer version of Excel. Learn more: https://go.microsoft.com/fwlink/?linkid=870924
Comment:
    IFR https://www.midandsouthessex.ics.nhs.uk/publications/srp-063-hyperhidrosis-botulinum-toxin-type-a/</t>
      </text>
    </comment>
    <comment ref="AC153" authorId="493" shapeId="0" xr:uid="{483CA14A-2370-4BF0-8A05-BCF8F203327C}">
      <text>
        <t>[Threaded comment]
Your version of Excel allows you to read this threaded comment; however, any edits to it will get removed if the file is opened in a newer version of Excel. Learn more: https://go.microsoft.com/fwlink/?linkid=870924
Comment:
    Looks like tick part of nice guidance? https://nclhealthandcare.org.uk/wp-content/uploads/2024/02/NCL-EBICS-Policy-v9.2-2.pdf</t>
      </text>
    </comment>
    <comment ref="AH153" authorId="494" shapeId="0" xr:uid="{2D1344B0-2992-4636-9DF6-D4C3AC709A4E}">
      <text>
        <t>[Threaded comment]
Your version of Excel allows you to read this threaded comment; however, any edits to it will get removed if the file is opened in a newer version of Excel. Learn more: https://go.microsoft.com/fwlink/?linkid=870924
Comment:
    IFR “Endoscopy thoracic sympathectomy Category: (IFR / Prior Approval / Monitored Approval) IFR Local or National EBI (Evidence Based Interventions) Policy: Local ” https://notts.icb.nhs.uk/wp-content/uploads/sites/2/2022/04/Value-Based-Commissioning-PolicyV1.4-2.pdf</t>
      </text>
    </comment>
    <comment ref="D154" authorId="495" shapeId="0" xr:uid="{7135C0EF-05E5-4737-B344-F88FCFBAE149}">
      <text>
        <t xml:space="preserve">[Threaded comment]
Your version of Excel allows you to read this threaded comment; however, any edits to it will get removed if the file is opened in a newer version of Excel. Learn more: https://go.microsoft.com/fwlink/?linkid=870924
Comment:
    Criteria Based Access: Tonsillectomy for recurrent Intervention Not Normally Funded: Tonsillectomy for tonsilloliths - https://bedfordshirelutonandmiltonkeynes.icb.nhs.uk/~documents/policies/evidence-based-clinical-policies/tonsillectomy-for-tonsillitis-and-tonsilloliths </t>
      </text>
    </comment>
    <comment ref="F154" authorId="0" shapeId="0" xr:uid="{F40C4AB3-AC61-4691-B34C-390B6CA33153}">
      <text>
        <r>
          <rPr>
            <b/>
            <sz val="9"/>
            <color indexed="81"/>
            <rFont val="Tahoma"/>
            <family val="2"/>
          </rPr>
          <t>Jamie Smyth:</t>
        </r>
        <r>
          <rPr>
            <sz val="9"/>
            <color indexed="81"/>
            <rFont val="Tahoma"/>
            <family val="2"/>
          </rPr>
          <t xml:space="preserve">
Covered under Tonsillectomy policy</t>
        </r>
      </text>
    </comment>
    <comment ref="I154" authorId="0" shapeId="0" xr:uid="{841E1759-F453-4A2A-B019-6E64D00E2A11}">
      <text>
        <r>
          <rPr>
            <b/>
            <sz val="9"/>
            <color indexed="81"/>
            <rFont val="Tahoma"/>
            <family val="2"/>
          </rPr>
          <t>Jamie Smyth:</t>
        </r>
        <r>
          <rPr>
            <sz val="9"/>
            <color indexed="81"/>
            <rFont val="Tahoma"/>
            <family val="2"/>
          </rPr>
          <t xml:space="preserve">
Surgery for Tonsillitis: Tonsillectomy and Adenoidectomy Policy</t>
        </r>
      </text>
    </comment>
    <comment ref="AA154" authorId="0" shapeId="0" xr:uid="{93043AC6-270A-4F00-BD93-4FE39F186180}">
      <text>
        <r>
          <rPr>
            <b/>
            <sz val="9"/>
            <color indexed="81"/>
            <rFont val="Tahoma"/>
            <family val="2"/>
          </rPr>
          <t>Jamie Smyth:</t>
        </r>
        <r>
          <rPr>
            <sz val="9"/>
            <color indexed="81"/>
            <rFont val="Tahoma"/>
            <family val="2"/>
          </rPr>
          <t xml:space="preserve">
https://www.midandsouthessex.ics.nhs.uk/publications/srp-103-tonsillectomy-adenoidectomy-for-recurrent-tonsillitis/</t>
        </r>
      </text>
    </comment>
    <comment ref="F155" authorId="0" shapeId="0" xr:uid="{8A91660F-8012-4CD8-848A-707863B9D36A}">
      <text>
        <r>
          <rPr>
            <b/>
            <sz val="9"/>
            <color indexed="81"/>
            <rFont val="Tahoma"/>
            <family val="2"/>
          </rPr>
          <t>Jamie Smyth:</t>
        </r>
        <r>
          <rPr>
            <sz val="9"/>
            <color indexed="81"/>
            <rFont val="Tahoma"/>
            <family val="2"/>
          </rPr>
          <t xml:space="preserve">
Cosmetic surgery policy. AO unable to find.
Skin resurfacing policy</t>
        </r>
      </text>
    </comment>
    <comment ref="H155" authorId="0" shapeId="0" xr:uid="{37056E3F-4152-442B-B427-B2A429EF52F6}">
      <text>
        <r>
          <rPr>
            <b/>
            <sz val="9"/>
            <color indexed="81"/>
            <rFont val="Tahoma"/>
            <family val="2"/>
          </rPr>
          <t>Jamie Smyth:</t>
        </r>
        <r>
          <rPr>
            <sz val="9"/>
            <color indexed="81"/>
            <rFont val="Tahoma"/>
            <family val="2"/>
          </rPr>
          <t xml:space="preserve">
Aesthetic Treatments for Adults and Children  policy</t>
        </r>
      </text>
    </comment>
    <comment ref="J155" authorId="0" shapeId="0" xr:uid="{ACECE443-6FAE-4747-BD61-17CC0955AF1D}">
      <text>
        <r>
          <rPr>
            <b/>
            <sz val="9"/>
            <color indexed="81"/>
            <rFont val="Tahoma"/>
            <family val="2"/>
          </rPr>
          <t>Jamie Smyth:</t>
        </r>
        <r>
          <rPr>
            <sz val="9"/>
            <color indexed="81"/>
            <rFont val="Tahoma"/>
            <family val="2"/>
          </rPr>
          <t xml:space="preserve">
Camouflage Treatment for Skin Pigmentation and other disorders </t>
        </r>
      </text>
    </comment>
    <comment ref="K155" authorId="0" shapeId="0" xr:uid="{1BB84C39-5B20-4C10-90CB-96D7B17192EE}">
      <text>
        <r>
          <rPr>
            <b/>
            <sz val="9"/>
            <color indexed="81"/>
            <rFont val="Tahoma"/>
            <family val="2"/>
          </rPr>
          <t>Jamie Smyth:</t>
        </r>
        <r>
          <rPr>
            <sz val="9"/>
            <color indexed="81"/>
            <rFont val="Tahoma"/>
            <family val="2"/>
          </rPr>
          <t xml:space="preserve">
Skin camouflage services commissioned with criteria</t>
        </r>
      </text>
    </comment>
    <comment ref="L155" authorId="0" shapeId="0" xr:uid="{700E9167-FA0C-46B5-B365-A0990A76108F}">
      <text>
        <r>
          <rPr>
            <b/>
            <sz val="9"/>
            <color indexed="81"/>
            <rFont val="Tahoma"/>
            <family val="2"/>
          </rPr>
          <t>Jamie Smyth:</t>
        </r>
        <r>
          <rPr>
            <sz val="9"/>
            <color indexed="81"/>
            <rFont val="Tahoma"/>
            <family val="2"/>
          </rPr>
          <t xml:space="preserve">
Treatments Designed to Improve Aesthetic Appearance Policy</t>
        </r>
      </text>
    </comment>
    <comment ref="M155" authorId="0" shapeId="0" xr:uid="{7C0DBB45-287F-4553-81F5-4B8B7ACC3C15}">
      <text>
        <r>
          <rPr>
            <b/>
            <sz val="9"/>
            <color indexed="81"/>
            <rFont val="Tahoma"/>
            <family val="2"/>
          </rPr>
          <t>Jamie Smyth:</t>
        </r>
        <r>
          <rPr>
            <sz val="9"/>
            <color indexed="81"/>
            <rFont val="Tahoma"/>
            <family val="2"/>
          </rPr>
          <t xml:space="preserve">
Not Routinely Commissioned Cosmetic Procedures -  • Laser treatment for facial hyperpigmentation  
https://www.derbyshiremedicinesmanagement.nhs.uk/assets/Clinical-Policies/Clinical_Policies/Cosmetic/cosmetic/Laser_Treatment_for_Skin_Conditions.pdf
</t>
        </r>
      </text>
    </comment>
    <comment ref="N155" authorId="0" shapeId="0" xr:uid="{EDE4EB23-3ABD-4A94-B4AC-21DE68AF5032}">
      <text>
        <r>
          <rPr>
            <b/>
            <sz val="9"/>
            <color indexed="81"/>
            <rFont val="Tahoma"/>
            <family val="2"/>
          </rPr>
          <t>Jamie Smyth:</t>
        </r>
        <r>
          <rPr>
            <sz val="9"/>
            <color indexed="81"/>
            <rFont val="Tahoma"/>
            <family val="2"/>
          </rPr>
          <t xml:space="preserve">
Comestic Policy - Appendix 1</t>
        </r>
      </text>
    </comment>
    <comment ref="O155" authorId="0" shapeId="0" xr:uid="{B1DC799A-DBA2-4633-AECF-FFE48F4E817E}">
      <text>
        <r>
          <rPr>
            <b/>
            <sz val="9"/>
            <color indexed="81"/>
            <rFont val="Tahoma"/>
            <family val="2"/>
          </rPr>
          <t>Jamie Smyth:</t>
        </r>
        <r>
          <rPr>
            <sz val="9"/>
            <color indexed="81"/>
            <rFont val="Tahoma"/>
            <family val="2"/>
          </rPr>
          <t xml:space="preserve">
Cosmetic Treatments (including Laser Treatment - outlines hyperpigmentation conditions for laser treatment (mainly IFR)</t>
        </r>
      </text>
    </comment>
    <comment ref="P155" authorId="0" shapeId="0" xr:uid="{ED3B99F2-2EF4-43FD-A371-0899B99B8D05}">
      <text>
        <r>
          <rPr>
            <b/>
            <sz val="9"/>
            <color indexed="81"/>
            <rFont val="Tahoma"/>
            <family val="2"/>
          </rPr>
          <t>Jamie Smyth:</t>
        </r>
        <r>
          <rPr>
            <sz val="9"/>
            <color indexed="81"/>
            <rFont val="Tahoma"/>
            <family val="2"/>
          </rPr>
          <t xml:space="preserve">
Laser / Pulse Dye Laser Treatment of ‘Port Wine Stains’ and other skin lesions - Cosmetic Surgery Policy 
</t>
        </r>
      </text>
    </comment>
    <comment ref="Q155" authorId="496" shapeId="0" xr:uid="{7743512B-8D07-4F43-89FC-CB47FF2BA37B}">
      <text>
        <t>[Threaded comment]
Your version of Excel allows you to read this threaded comment; however, any edits to it will get removed if the file is opened in a newer version of Excel. Learn more: https://go.microsoft.com/fwlink/?linkid=870924
Comment:
    Cannot find</t>
      </text>
    </comment>
    <comment ref="S155" authorId="497" shapeId="0" xr:uid="{B144B66D-F1D8-492D-861D-D06530FDBFB0}">
      <text>
        <t>[Threaded comment]
Your version of Excel allows you to read this threaded comment; however, any edits to it will get removed if the file is opened in a newer version of Excel. Learn more: https://go.microsoft.com/fwlink/?linkid=870924
Comment:
    Cannot find https://fundingrequests.scwcsu.nhs.uk/wp-content/uploads/2023/04/Policy-72-Cosmetic-interventions-for-adults-and-children-v1.1.pdf</t>
      </text>
    </comment>
    <comment ref="V155" authorId="498" shapeId="0" xr:uid="{DC23DD26-7B5F-453C-A61A-675015421E7B}">
      <text>
        <t>[Threaded comment]
Your version of Excel allows you to read this threaded comment; however, any edits to it will get removed if the file is opened in a newer version of Excel. Learn more: https://go.microsoft.com/fwlink/?linkid=870924
Comment:
    Unable to find ref</t>
      </text>
    </comment>
    <comment ref="W155" authorId="499" shapeId="0" xr:uid="{898173AA-3733-48A1-A211-4420695A22EE}">
      <text>
        <t>[Threaded comment]
Your version of Excel allows you to read this threaded comment; however, any edits to it will get removed if the file is opened in a newer version of Excel. Learn more: https://go.microsoft.com/fwlink/?linkid=870924
Comment:
    Unable to find ref https://www.kentandmedway.icb.nhs.uk/application/files/9817/1292/6708/KM_RaTC_April_2024.pdf</t>
      </text>
    </comment>
    <comment ref="X155" authorId="500" shapeId="0" xr:uid="{9C0C08E0-185E-4776-9486-8A3799263FCE}">
      <text>
        <t>[Threaded comment]
Your version of Excel allows you to read this threaded comment; however, any edits to it will get removed if the file is opened in a newer version of Excel. Learn more: https://go.microsoft.com/fwlink/?linkid=870924
Comment:
    Unable to find ref</t>
      </text>
    </comment>
    <comment ref="Y155" authorId="0" shapeId="0" xr:uid="{F02D34CB-4F77-4571-853E-0CF06741EA3A}">
      <text>
        <r>
          <rPr>
            <b/>
            <sz val="9"/>
            <color indexed="81"/>
            <rFont val="Tahoma"/>
            <family val="2"/>
          </rPr>
          <t>Jamie Smyth:</t>
        </r>
        <r>
          <rPr>
            <sz val="9"/>
            <color indexed="81"/>
            <rFont val="Tahoma"/>
            <family val="2"/>
          </rPr>
          <t xml:space="preserve">
 Policy for Congenital Pigmented Lesion on the Face</t>
        </r>
      </text>
    </comment>
    <comment ref="Z155" authorId="501" shapeId="0" xr:uid="{EFC7F8DB-0E37-47E9-8D1C-A36CE4FF3FC5}">
      <text>
        <t>[Threaded comment]
Your version of Excel allows you to read this threaded comment; however, any edits to it will get removed if the file is opened in a newer version of Excel. Learn more: https://go.microsoft.com/fwlink/?linkid=870924
Comment:
    “The ICB will only fund laser treatment for the following conditions: • Port wine stains - on the face only (not scalp or neck) only where the criteria for ‘Congenital pigmented lesion on the face’ is met • Extensive and severe iatrogenic telangiectasia • Congenital pigmented lesions on the face ” - tick</t>
      </text>
    </comment>
    <comment ref="AH155" authorId="0" shapeId="0" xr:uid="{312ABD66-3402-4710-9924-88D84C3ADA0A}">
      <text>
        <r>
          <rPr>
            <b/>
            <sz val="9"/>
            <color indexed="81"/>
            <rFont val="Tahoma"/>
            <family val="2"/>
          </rPr>
          <t>Jamie Smyth:</t>
        </r>
        <r>
          <rPr>
            <sz val="9"/>
            <color indexed="81"/>
            <rFont val="Tahoma"/>
            <family val="2"/>
          </rPr>
          <t xml:space="preserve">
Congenital pigmented lesions + Laser Treatment - Skin - Pages 30+31</t>
        </r>
      </text>
    </comment>
    <comment ref="AJ155" authorId="0" shapeId="0" xr:uid="{225595B3-A26D-45E8-A221-0F2299FA8CBA}">
      <text>
        <r>
          <rPr>
            <b/>
            <sz val="9"/>
            <color indexed="81"/>
            <rFont val="Tahoma"/>
            <family val="2"/>
          </rPr>
          <t>Jamie Smyth:</t>
        </r>
        <r>
          <rPr>
            <sz val="9"/>
            <color indexed="81"/>
            <rFont val="Tahoma"/>
            <family val="2"/>
          </rPr>
          <t xml:space="preserve">
Treatment/removal of port wine stains and other birthmarks is IFR</t>
        </r>
      </text>
    </comment>
    <comment ref="AK155" authorId="0" shapeId="0" xr:uid="{F811357D-8270-4F22-B5C0-EC4ED4D5FE42}">
      <text>
        <r>
          <rPr>
            <b/>
            <sz val="9"/>
            <color indexed="81"/>
            <rFont val="Tahoma"/>
            <family val="2"/>
          </rPr>
          <t>Jamie Smyth:</t>
        </r>
        <r>
          <rPr>
            <sz val="9"/>
            <color indexed="81"/>
            <rFont val="Tahoma"/>
            <family val="2"/>
          </rPr>
          <t xml:space="preserve">
2.7 Removal of birthmarks - Port wine stains</t>
        </r>
      </text>
    </comment>
    <comment ref="AM155" authorId="0" shapeId="0" xr:uid="{9977504B-C034-436B-9342-9A62948CA2BD}">
      <text>
        <r>
          <rPr>
            <b/>
            <sz val="9"/>
            <color indexed="81"/>
            <rFont val="Tahoma"/>
            <family val="2"/>
          </rPr>
          <t>Jamie Smyth:</t>
        </r>
        <r>
          <rPr>
            <sz val="9"/>
            <color indexed="81"/>
            <rFont val="Tahoma"/>
            <family val="2"/>
          </rPr>
          <t xml:space="preserve">
 Laser or surgical treatment for congenital vascular abnormalities (inc. Port Wine Stain, Paediatric Haemangiomas) - Page 17</t>
        </r>
      </text>
    </comment>
    <comment ref="M157" authorId="502" shapeId="0" xr:uid="{9C27FC6C-4818-493D-A75D-55DA8B31666F}">
      <text>
        <t>[Threaded comment]
Your version of Excel allows you to read this threaded comment; however, any edits to it will get removed if the file is opened in a newer version of Excel. Learn more: https://go.microsoft.com/fwlink/?linkid=870924
Comment:
    IFR https://www.derbyshiremedicinesmanagement.nhs.uk/assets/Clinical-Policies/Clinical_Policies/PLCV/neurology/Trophic_Electrical_Stimulation_for_Facial_Palsy%20.pdf</t>
      </text>
    </comment>
    <comment ref="AH157" authorId="503" shapeId="0" xr:uid="{426B003E-969E-4E80-86B2-974817607249}">
      <text>
        <t>[Threaded comment]
Your version of Excel allows you to read this threaded comment; however, any edits to it will get removed if the file is opened in a newer version of Excel. Learn more: https://go.microsoft.com/fwlink/?linkid=870924
Comment:
    Unable to find ref</t>
      </text>
    </comment>
    <comment ref="C158" authorId="0" shapeId="0" xr:uid="{F7896C9B-8985-4416-82D8-BD676BE55C6E}">
      <text>
        <r>
          <rPr>
            <b/>
            <sz val="9"/>
            <color indexed="81"/>
            <rFont val="Tahoma"/>
            <family val="2"/>
          </rPr>
          <t>Jamie Smyth:</t>
        </r>
        <r>
          <rPr>
            <sz val="9"/>
            <color indexed="81"/>
            <rFont val="Tahoma"/>
            <family val="2"/>
          </rPr>
          <t xml:space="preserve">
Listed under LOW-INTENSITY PULSED ULTRASOUND FOR FRACTURE
HEALING (LIPUS) (MARKETED AS EXOGEN®)" policy</t>
        </r>
      </text>
    </comment>
    <comment ref="F158" authorId="0" shapeId="0" xr:uid="{E5AFA264-0540-4B63-ABF9-CF72B7BA7156}">
      <text>
        <r>
          <rPr>
            <b/>
            <sz val="9"/>
            <color indexed="81"/>
            <rFont val="Tahoma"/>
            <family val="2"/>
          </rPr>
          <t>Jamie Smyth:</t>
        </r>
        <r>
          <rPr>
            <sz val="9"/>
            <color indexed="81"/>
            <rFont val="Tahoma"/>
            <family val="2"/>
          </rPr>
          <t xml:space="preserve">
Covered under Exogen policy. AO unable to find
</t>
        </r>
      </text>
    </comment>
    <comment ref="G158" authorId="0" shapeId="0" xr:uid="{06C66618-3EDC-48A0-B86C-C0718B9DD22A}">
      <text>
        <r>
          <rPr>
            <b/>
            <sz val="9"/>
            <color indexed="81"/>
            <rFont val="Tahoma"/>
            <family val="2"/>
          </rPr>
          <t>Jamie Smyth:
Exogen policy</t>
        </r>
      </text>
    </comment>
    <comment ref="H158" authorId="0" shapeId="0" xr:uid="{0782C5C3-CC2E-41D6-8963-2DEDEC1F667B}">
      <text>
        <r>
          <rPr>
            <b/>
            <sz val="9"/>
            <color indexed="81"/>
            <rFont val="Tahoma"/>
            <family val="2"/>
          </rPr>
          <t>Jamie Smyth:</t>
        </r>
        <r>
          <rPr>
            <sz val="9"/>
            <color indexed="81"/>
            <rFont val="Tahoma"/>
            <family val="2"/>
          </rPr>
          <t xml:space="preserve">
 Interventions for Non-union Fracture: Low-intensity Pulsed Ultrasound (marketed in the UK as the Exogen® system) and Teriparatide policy</t>
        </r>
      </text>
    </comment>
    <comment ref="K158" authorId="0" shapeId="0" xr:uid="{BB9B293E-F69A-467F-8753-4DE4637A6F2E}">
      <text>
        <r>
          <rPr>
            <b/>
            <sz val="9"/>
            <color indexed="81"/>
            <rFont val="Tahoma"/>
            <family val="2"/>
          </rPr>
          <t>Jamie Smyth:</t>
        </r>
        <r>
          <rPr>
            <sz val="9"/>
            <color indexed="81"/>
            <rFont val="Tahoma"/>
            <family val="2"/>
          </rPr>
          <t xml:space="preserve">
Exogen ultrasound bone healing system - commissioned but crit
eria applies</t>
        </r>
      </text>
    </comment>
    <comment ref="N158" authorId="0" shapeId="0" xr:uid="{9E0301CC-18E1-4B72-9E06-D3301CCFBFA3}">
      <text>
        <r>
          <rPr>
            <b/>
            <sz val="9"/>
            <color indexed="81"/>
            <rFont val="Tahoma"/>
            <family val="2"/>
          </rPr>
          <t>Jamie Smyth:</t>
        </r>
        <r>
          <rPr>
            <sz val="9"/>
            <color indexed="81"/>
            <rFont val="Tahoma"/>
            <family val="2"/>
          </rPr>
          <t xml:space="preserve">
Exogen®
low-intensity pulsed
ultrasound system for healing of
non-union long bone fractures policy</t>
        </r>
      </text>
    </comment>
    <comment ref="P158" authorId="0" shapeId="0" xr:uid="{F5A13D25-CAF4-4069-A5DB-C32810DAEDFE}">
      <text>
        <r>
          <rPr>
            <b/>
            <sz val="9"/>
            <color indexed="81"/>
            <rFont val="Tahoma"/>
            <family val="2"/>
          </rPr>
          <t>Jamie Smyth:</t>
        </r>
        <r>
          <rPr>
            <sz val="9"/>
            <color indexed="81"/>
            <rFont val="Tahoma"/>
            <family val="2"/>
          </rPr>
          <t xml:space="preserve">
Exogen
</t>
        </r>
      </text>
    </comment>
    <comment ref="Q158" authorId="504" shapeId="0" xr:uid="{BF9D100B-6C3F-4AF7-B3C2-8D545E0CB484}">
      <text>
        <t>[Threaded comment]
Your version of Excel allows you to read this threaded comment; however, any edits to it will get removed if the file is opened in a newer version of Excel. Learn more: https://go.microsoft.com/fwlink/?linkid=870924
Comment:
    Cannot find</t>
      </text>
    </comment>
    <comment ref="T158" authorId="0" shapeId="0" xr:uid="{3EDC8751-C3A5-48C2-8BC4-D190B0439E37}">
      <text>
        <r>
          <rPr>
            <b/>
            <sz val="9"/>
            <color indexed="81"/>
            <rFont val="Tahoma"/>
            <family val="2"/>
          </rPr>
          <t>Jamie Smyth:</t>
        </r>
        <r>
          <rPr>
            <sz val="9"/>
            <color indexed="81"/>
            <rFont val="Tahoma"/>
            <family val="2"/>
          </rPr>
          <t xml:space="preserve">
Exogen Therapy - Commissioning Policy v1.4 Criteria based approval</t>
        </r>
      </text>
    </comment>
    <comment ref="U158" authorId="0" shapeId="0" xr:uid="{647259E7-C6BF-4924-A48C-D5130EBAC07D}">
      <text>
        <r>
          <rPr>
            <b/>
            <sz val="9"/>
            <color indexed="81"/>
            <rFont val="Tahoma"/>
            <family val="2"/>
          </rPr>
          <t>Jamie Smyth:</t>
        </r>
        <r>
          <rPr>
            <sz val="9"/>
            <color indexed="81"/>
            <rFont val="Tahoma"/>
            <family val="2"/>
          </rPr>
          <t xml:space="preserve">
https://www.hweclinicalguidance.nhs.uk/clinical-policies/exogen/</t>
        </r>
      </text>
    </comment>
    <comment ref="V158" authorId="505" shapeId="0" xr:uid="{EF5662F6-56D8-4FB0-8DC3-9A7EB67834D3}">
      <text>
        <t>[Threaded comment]
Your version of Excel allows you to read this threaded comment; however, any edits to it will get removed if the file is opened in a newer version of Excel. Learn more: https://go.microsoft.com/fwlink/?linkid=870924
Comment:
    Should be a tick https://humberandnorthyorkshire.icb.nhs.uk/wp-content/uploads/2025/04/087-Exogen-Ultrasound-Bone-Healing-Exogen-Therapy.docx</t>
      </text>
    </comment>
    <comment ref="W158" authorId="0" shapeId="0" xr:uid="{4C050171-FCE7-43F3-8651-DDB7073358FF}">
      <text>
        <r>
          <rPr>
            <b/>
            <sz val="9"/>
            <color indexed="81"/>
            <rFont val="Tahoma"/>
            <family val="2"/>
          </rPr>
          <t>Jamie Smyth:</t>
        </r>
        <r>
          <rPr>
            <sz val="9"/>
            <color indexed="81"/>
            <rFont val="Tahoma"/>
            <family val="2"/>
          </rPr>
          <t xml:space="preserve">
Exogen Therapy - 15.6</t>
        </r>
      </text>
    </comment>
    <comment ref="X158" authorId="0" shapeId="0" xr:uid="{45C9AA9C-C1E5-4EB5-A066-5A28536FF37A}">
      <text>
        <r>
          <rPr>
            <b/>
            <sz val="9"/>
            <color indexed="81"/>
            <rFont val="Tahoma"/>
            <family val="2"/>
          </rPr>
          <t>Jamie Smyth:</t>
        </r>
        <r>
          <rPr>
            <sz val="9"/>
            <color indexed="81"/>
            <rFont val="Tahoma"/>
            <family val="2"/>
          </rPr>
          <t xml:space="preserve">
Policy for Low Intensity Pulsed Ultrasound (LIPUS) Therapy .
AO: reads as IFR in document - https://www.healthierlsc.co.uk/application/files/6216/7576/5523/LSCICB_Clin12__Policy_for_Low_Intensity_Pulsed_Ultrasound_LIPUS_Therapy_v1.1.pdf</t>
        </r>
      </text>
    </comment>
    <comment ref="Y158" authorId="0" shapeId="0" xr:uid="{A9E4635F-CDF0-4342-AB99-2E58B22D51CD}">
      <text>
        <r>
          <rPr>
            <b/>
            <sz val="9"/>
            <color indexed="81"/>
            <rFont val="Tahoma"/>
            <family val="2"/>
          </rPr>
          <t>Jamie Smyth:</t>
        </r>
        <r>
          <rPr>
            <sz val="9"/>
            <color indexed="81"/>
            <rFont val="Tahoma"/>
            <family val="2"/>
          </rPr>
          <t xml:space="preserve">
LLR Policy for Low Intensity Ultrasound Bone Healing</t>
        </r>
      </text>
    </comment>
    <comment ref="AA158" authorId="0" shapeId="0" xr:uid="{F45F64EB-665E-4A85-BEE8-936BB8C4F3B7}">
      <text>
        <r>
          <rPr>
            <b/>
            <sz val="9"/>
            <color indexed="81"/>
            <rFont val="Tahoma"/>
            <family val="2"/>
          </rPr>
          <t>Jamie Smyth:</t>
        </r>
        <r>
          <rPr>
            <sz val="9"/>
            <color indexed="81"/>
            <rFont val="Tahoma"/>
            <family val="2"/>
          </rPr>
          <t xml:space="preserve">
https://www.midandsouthessex.ics.nhs.uk/publications/srp-044-exogen-bone-healing-ultrasound-system/</t>
        </r>
      </text>
    </comment>
    <comment ref="AB158" authorId="0" shapeId="0" xr:uid="{FCE13090-C707-4AB3-BAD6-00804DB33169}">
      <text>
        <r>
          <rPr>
            <b/>
            <sz val="9"/>
            <color indexed="81"/>
            <rFont val="Tahoma"/>
            <family val="2"/>
          </rPr>
          <t>Jamie Smyth:</t>
        </r>
        <r>
          <rPr>
            <sz val="9"/>
            <color indexed="81"/>
            <rFont val="Tahoma"/>
            <family val="2"/>
          </rPr>
          <t xml:space="preserve">
https://nwknowledgenow.nhs.uk/content/exogen-ultrasound-bone-healing/</t>
        </r>
      </text>
    </comment>
    <comment ref="AG158" authorId="0" shapeId="0" xr:uid="{F7A3548F-3CF5-40EF-BA57-75EC736AA5DD}">
      <text>
        <r>
          <rPr>
            <b/>
            <sz val="9"/>
            <color indexed="81"/>
            <rFont val="Tahoma"/>
            <family val="2"/>
          </rPr>
          <t>Jamie Smyth:</t>
        </r>
        <r>
          <rPr>
            <sz val="9"/>
            <color indexed="81"/>
            <rFont val="Tahoma"/>
            <family val="2"/>
          </rPr>
          <t xml:space="preserve">
https://www.icnorthamptonshire.org.uk/documents?media_item=23759&amp;media_type=10#file-viewer</t>
        </r>
      </text>
    </comment>
    <comment ref="AH158" authorId="0" shapeId="0" xr:uid="{5A0E44B9-6F6F-4812-AA1A-5A82AD52FF6B}">
      <text>
        <r>
          <rPr>
            <b/>
            <sz val="9"/>
            <color indexed="81"/>
            <rFont val="Tahoma"/>
            <family val="2"/>
          </rPr>
          <t>Jamie Smyth:</t>
        </r>
        <r>
          <rPr>
            <sz val="9"/>
            <color indexed="81"/>
            <rFont val="Tahoma"/>
            <family val="2"/>
          </rPr>
          <t xml:space="preserve">
Page 140
</t>
        </r>
      </text>
    </comment>
    <comment ref="AM158" authorId="0" shapeId="0" xr:uid="{7C37F487-52F1-4F7D-B616-98BA6C136201}">
      <text>
        <r>
          <rPr>
            <b/>
            <sz val="9"/>
            <color indexed="81"/>
            <rFont val="Tahoma"/>
            <family val="2"/>
          </rPr>
          <t>Jamie Smyth:</t>
        </r>
        <r>
          <rPr>
            <sz val="9"/>
            <color indexed="81"/>
            <rFont val="Tahoma"/>
            <family val="2"/>
          </rPr>
          <t xml:space="preserve">
Low Intensity Ultrasound (Exogen) for the Healing of Fractures Page 60</t>
        </r>
      </text>
    </comment>
    <comment ref="AN158" authorId="0" shapeId="0" xr:uid="{17F436D3-F7DB-43D3-AEF9-B959515BB0F4}">
      <text>
        <r>
          <rPr>
            <b/>
            <sz val="9"/>
            <color indexed="81"/>
            <rFont val="Tahoma"/>
            <family val="2"/>
          </rPr>
          <t>Jamie Smyth:</t>
        </r>
        <r>
          <rPr>
            <sz val="9"/>
            <color indexed="81"/>
            <rFont val="Tahoma"/>
            <family val="2"/>
          </rPr>
          <t xml:space="preserve">
Bone healing ultrasound system - Exogen - Page 27</t>
        </r>
      </text>
    </comment>
    <comment ref="AP158" authorId="0" shapeId="0" xr:uid="{8334D97C-7A1B-4381-B09F-24FED9CE17A6}">
      <text>
        <r>
          <rPr>
            <b/>
            <sz val="9"/>
            <color indexed="81"/>
            <rFont val="Tahoma"/>
            <family val="2"/>
          </rPr>
          <t>Jamie Smyth:</t>
        </r>
        <r>
          <rPr>
            <sz val="9"/>
            <color indexed="81"/>
            <rFont val="Tahoma"/>
            <family val="2"/>
          </rPr>
          <t xml:space="preserve">
15. EXOGEN Ultrasound Bone Healing System (T0, P2) Page 28</t>
        </r>
      </text>
    </comment>
    <comment ref="F159" authorId="506" shapeId="0" xr:uid="{C671EB97-D7EB-47D1-8AD9-B413E631951D}">
      <text>
        <t>[Threaded comment]
Your version of Excel allows you to read this threaded comment; however, any edits to it will get removed if the file is opened in a newer version of Excel. Learn more: https://go.microsoft.com/fwlink/?linkid=870924
Comment:
    EBI Upper GI (gastrointestinal) endoscopy - inpatients
A routine test using a long thin tube with a small camera (called an endoscope) is passed via the mouth to examine the Oesophagus (food pipe), stomach and part of the small intestines.
Upper GI (gastrointestinal) endoscopy - outpatients
A routine test using a long, thin tube with a small camera (called an endoscope) which is passed via the mouth to examine the Oesophagus (food pipe), stomach and part of the small intestines. ​​
 https://blackcountry.icb.nhs.uk/have-your-say/get-involved/current-consultations-and-engagement/clinical-policy-review2</t>
      </text>
    </comment>
    <comment ref="G159" authorId="507" shapeId="0" xr:uid="{4759A2D6-3CF6-416B-BD95-70BA026F0A53}">
      <text>
        <t>[Threaded comment]
Your version of Excel allows you to read this threaded comment; however, any edits to it will get removed if the file is opened in a newer version of Excel. Learn more: https://go.microsoft.com/fwlink/?linkid=870924
Comment:
    ?offered as CBA https://bnssghealthiertogether.org.uk/wp-content/uploads/2024/01/FOI.ICB-2324_252-Final-Response.pdf</t>
      </text>
    </comment>
    <comment ref="Z159" authorId="508" shapeId="0" xr:uid="{77C22F60-48E9-4DAA-9197-4B56BC111EF5}">
      <text>
        <t>[Threaded comment]
Your version of Excel allows you to read this threaded comment; however, any edits to it will get removed if the file is opened in a newer version of Excel. Learn more: https://go.microsoft.com/fwlink/?linkid=870924
Comment:
    Only ref is ERCP and sinus surgery - therefore NA or counts as gastro?</t>
      </text>
    </comment>
    <comment ref="P160" authorId="509" shapeId="0" xr:uid="{B5E9CC79-5118-4965-B2CB-976AF047A581}">
      <text>
        <t>[Threaded comment]
Your version of Excel allows you to read this threaded comment; however, any edits to it will get removed if the file is opened in a newer version of Excel. Learn more: https://go.microsoft.com/fwlink/?linkid=870924
Comment:
    Mesh criteria https://fundingrequests.scwcsu.nhs.uk/wp-content/uploads/2024/04/BOBFPC-059-Management-of-female-pelvic-organ-prolapse-v2.0.pdf</t>
      </text>
    </comment>
    <comment ref="W160" authorId="510" shapeId="0" xr:uid="{34257601-1E8A-4AB9-9533-3DE07C4BFD54}">
      <text>
        <t>[Threaded comment]
Your version of Excel allows you to read this threaded comment; however, any edits to it will get removed if the file is opened in a newer version of Excel. Learn more: https://go.microsoft.com/fwlink/?linkid=870924
Comment:
    Pg 164 “Posterior colporrhaphy with mesh reinforcement ” - tick https://www.kentandmedway.icb.nhs.uk/application/files/9817/1292/6708/KM_RaTC_April_2024.pdf</t>
      </text>
    </comment>
    <comment ref="AA160" authorId="511" shapeId="0" xr:uid="{37BA7A4F-D8B8-4CC4-96D3-CAC8B988D1BD}">
      <text>
        <t>[Threaded comment]
Your version of Excel allows you to read this threaded comment; however, any edits to it will get removed if the file is opened in a newer version of Excel. Learn more: https://go.microsoft.com/fwlink/?linkid=870924
Comment:
    IFR - Use of mesh (synthetic) is not funded.  Current evidence on the safety of transvaginal mesh repair of anterior or posterior vaginal wall prolapse shows there are serious but well-recognised safety concerns. Evidence of long-term efficacy is inadequate in quality and quantity. Therefore, this procedure should only be used in the context of research. https://www.midandsouthessex.ics.nhs.uk/publications/srp-107-vaginal-vault-uterine-prolapse/</t>
      </text>
    </comment>
    <comment ref="AH160" authorId="512" shapeId="0" xr:uid="{9566CBE8-0F33-4E27-A6A3-8F59AB0ED7BF}">
      <text>
        <t>[Threaded comment]
Your version of Excel allows you to read this threaded comment; however, any edits to it will get removed if the file is opened in a newer version of Excel. Learn more: https://go.microsoft.com/fwlink/?linkid=870924
Comment:
    ?biological mesh covers? “Other indications will require Individual Funding Requests (IFR) ” https://notts.icb.nhs.uk/wp-content/uploads/sites/2/2022/04/Value-Based-Commissioning-PolicyV1.4-2.pdf</t>
      </text>
    </comment>
    <comment ref="AK160" authorId="513" shapeId="0" xr:uid="{3468945B-37E6-4507-922B-945C7E90BBF6}">
      <text>
        <t>[Threaded comment]
Your version of Excel allows you to read this threaded comment; however, any edits to it will get removed if the file is opened in a newer version of Excel. Learn more: https://go.microsoft.com/fwlink/?linkid=870924
Comment:
    Part of “2.16 Surgery for female genital prolapse4 ” - tick https://www.selondonics.org/wp-content/uploads/dlm_uploads/SEL-Treatment-Access-Policy-July-2024-v1.pdf</t>
      </text>
    </comment>
    <comment ref="J161" authorId="514" shapeId="0" xr:uid="{D2E969FE-448B-4C6F-830F-A72ACA17F1F2}">
      <text>
        <t>[Threaded comment]
Your version of Excel allows you to read this threaded comment; however, any edits to it will get removed if the file is opened in a newer version of Excel. Learn more: https://go.microsoft.com/fwlink/?linkid=870924
Comment:
    Should be a tick https://www.cheshireandmerseyside.nhs.uk/media/yvujqken/pol-clin106-malesterilisation-final-v05.pdf</t>
      </text>
    </comment>
    <comment ref="T161" authorId="515" shapeId="0" xr:uid="{785B12B3-8927-4FA8-8592-C7ABCBEADDC6}">
      <text>
        <t>[Threaded comment]
Your version of Excel allows you to read this threaded comment; however, any edits to it will get removed if the file is opened in a newer version of Excel. Learn more: https://go.microsoft.com/fwlink/?linkid=870924
Comment:
    Cannot find ref</t>
      </text>
    </comment>
    <comment ref="V161" authorId="516" shapeId="0" xr:uid="{121EBC08-4361-4653-BA4D-04BBBB5648BD}">
      <text>
        <t>[Threaded comment]
Your version of Excel allows you to read this threaded comment; however, any edits to it will get removed if the file is opened in a newer version of Excel. Learn more: https://go.microsoft.com/fwlink/?linkid=870924
Comment:
    Tick https://humberandnorthyorkshire.icb.nhs.uk/wp-content/uploads/2025/02/037-Vasectomy.docx</t>
      </text>
    </comment>
    <comment ref="AC161" authorId="246" shapeId="0" xr:uid="{7ACA15EC-721E-4468-ACDA-1F7BB2229658}">
      <text>
        <r>
          <rPr>
            <b/>
            <sz val="9"/>
            <color indexed="81"/>
            <rFont val="Tahoma"/>
            <family val="2"/>
          </rPr>
          <t>Smyth, Jamie B:</t>
        </r>
        <r>
          <rPr>
            <sz val="9"/>
            <color indexed="81"/>
            <rFont val="Tahoma"/>
            <family val="2"/>
          </rPr>
          <t xml:space="preserve">
Won't fund under GA. AO: therefore IFR? No policy talking about vasectomy only.
JS: Vasectomy seems to be routinely funded via a community provider - https://gps.northcentrallondon.icb.nhs.uk/topics/urology</t>
        </r>
      </text>
    </comment>
    <comment ref="AD161" authorId="246" shapeId="0" xr:uid="{9134824C-F3C4-4F56-96E0-D14450FC6207}">
      <text>
        <r>
          <rPr>
            <b/>
            <sz val="9"/>
            <color indexed="81"/>
            <rFont val="Tahoma"/>
            <family val="2"/>
          </rPr>
          <t>Smyth, Jamie B:</t>
        </r>
        <r>
          <rPr>
            <sz val="9"/>
            <color indexed="81"/>
            <rFont val="Tahoma"/>
            <family val="2"/>
          </rPr>
          <t xml:space="preserve">
Won't fund under GA</t>
        </r>
      </text>
    </comment>
    <comment ref="F162" authorId="517" shapeId="0" xr:uid="{8EAB8AD1-14B2-4995-A0E5-4BF551D6DD37}">
      <text>
        <t xml:space="preserve">[Threaded comment]
Your version of Excel allows you to read this threaded comment; however, any edits to it will get removed if the file is opened in a newer version of Excel. Learn more: https://go.microsoft.com/fwlink/?linkid=870924
Comment:
    EBI Vertebral augmentation for painful Osteoporotic vertebral fractures
A procedure which involves the injection of bone cement into a spinal fracture via a needle inserted through the skin, using camera guidance. The procedure aims to increase stability and strengthen the bone, also reducing pain and further collapse. https://blackcountry.icb.nhs.uk/have-your-say/get-involved/current-consultations-and-engagement/clinical-policy-review2
</t>
      </text>
    </comment>
    <comment ref="K162" authorId="518" shapeId="0" xr:uid="{0E469FE4-E92E-49FC-9FF6-FF36EE1F2DD0}">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T162" authorId="519" shapeId="0" xr:uid="{9E4A0177-3C50-42F7-BC9E-009EAEFF8754}">
      <text>
        <t>[Threaded comment]
Your version of Excel allows you to read this threaded comment; however, any edits to it will get removed if the file is opened in a newer version of Excel. Learn more: https://go.microsoft.com/fwlink/?linkid=870924
Comment:
    Tick https://www.hwics.org.uk/application/files/2117/0904/4510/ICB_MSK_Surgery_and_Therapy_V1.5_Final_6.pdf</t>
      </text>
    </comment>
    <comment ref="U162" authorId="520" shapeId="0" xr:uid="{A623D9B1-0F7D-490F-9517-176A8C866C93}">
      <text>
        <t>[Threaded comment]
Your version of Excel allows you to read this threaded comment; however, any edits to it will get removed if the file is opened in a newer version of Excel. Learn more: https://go.microsoft.com/fwlink/?linkid=870924
Comment:
    Described as EBI https://www.hweclinicalguidance.nhs.uk/all-clinical-areas-documents/search-results/epidural-injections-and-therapeutic-nerve-blocks-for-lumbar-or-sacral-radiculopathy/</t>
      </text>
    </comment>
    <comment ref="V162" authorId="521" shapeId="0" xr:uid="{FD3879D7-541A-4034-B071-EE08B712D6CA}">
      <text>
        <t xml:space="preserve">[Threaded comment]
Your version of Excel allows you to read this threaded comment; however, any edits to it will get removed if the file is opened in a newer version of Excel. Learn more: https://go.microsoft.com/fwlink/?linkid=870924
Comment:
    Policy under review https://humberandnorthyorkshire.icb.nhs.uk/documents-and-publications/commissioning-policies-2/
</t>
      </text>
    </comment>
    <comment ref="AM162" authorId="522" shapeId="0" xr:uid="{8B7DCB58-CEC0-445E-9D00-10DF2FD9ACB6}">
      <text>
        <t xml:space="preserve">[Threaded comment]
Your version of Excel allows you to read this threaded comment; however, any edits to it will get removed if the file is opened in a newer version of Excel. Learn more: https://go.microsoft.com/fwlink/?linkid=870924
Comment:
    Vertebral Augmentation (vertebroplasty or kyphoplasty) for Painful Osteoporotic Vertebral Fractures https://staffsstoke.icb.nhs.uk/your-nhs-integrated-care-board/our-publications/governance-handbook/all-policies/commissioning/icb-excluded-and-restricted-procedures-policy-v3-1/?layout=file
Reply:
    Tick </t>
      </text>
    </comment>
    <comment ref="F163" authorId="0" shapeId="0" xr:uid="{2DCEF83D-C5EF-456E-A3EE-D24921BA0F66}">
      <text>
        <r>
          <rPr>
            <b/>
            <sz val="9"/>
            <color indexed="81"/>
            <rFont val="Tahoma"/>
            <family val="2"/>
          </rPr>
          <t>Jamie Smyth:</t>
        </r>
        <r>
          <rPr>
            <sz val="9"/>
            <color indexed="81"/>
            <rFont val="Tahoma"/>
            <family val="2"/>
          </rPr>
          <t xml:space="preserve">
?</t>
        </r>
      </text>
    </comment>
    <comment ref="Q163" authorId="523" shapeId="0" xr:uid="{2AD4BFAB-05C8-4DEF-9EF4-EE21397A43F3}">
      <text>
        <t>[Threaded comment]
Your version of Excel allows you to read this threaded comment; however, any edits to it will get removed if the file is opened in a newer version of Excel. Learn more: https://go.microsoft.com/fwlink/?linkid=870924
Comment:
    Cannot find</t>
      </text>
    </comment>
    <comment ref="U163" authorId="0" shapeId="0" xr:uid="{94FAAF6E-69CE-48CE-ACBB-79DED43874EA}">
      <text>
        <r>
          <rPr>
            <b/>
            <sz val="9"/>
            <color indexed="81"/>
            <rFont val="Tahoma"/>
            <family val="2"/>
          </rPr>
          <t>Jamie Smyth:</t>
        </r>
        <r>
          <rPr>
            <sz val="9"/>
            <color indexed="81"/>
            <rFont val="Tahoma"/>
            <family val="2"/>
          </rPr>
          <t xml:space="preserve">
Can't find mention of Specific policies</t>
        </r>
      </text>
    </comment>
    <comment ref="F164" authorId="524" shapeId="0" xr:uid="{80C88EFB-EE69-4EB4-AFC3-2CC3C8D26F62}">
      <text>
        <t>[Threaded comment]
Your version of Excel allows you to read this threaded comment; however, any edits to it will get removed if the file is opened in a newer version of Excel. Learn more: https://go.microsoft.com/fwlink/?linkid=870924
Comment:
    Pre-operative chest x-ray
A quick and painless procedure commonly used to produce images of the inside of the chest before surgery.
https://blackcountry.icb.nhs.uk/have-your-say/get-involved/current-consultations-and-engagement/clinical-policy-review2 EBI</t>
      </text>
    </comment>
    <comment ref="K164" authorId="525" shapeId="0" xr:uid="{20C91C78-48EE-475B-B116-5241E45E951E}">
      <text>
        <t>[Threaded comment]
Your version of Excel allows you to read this threaded comment; however, any edits to it will get removed if the file is opened in a newer version of Excel. Learn more: https://go.microsoft.com/fwlink/?linkid=870924
Comment:
    Tick https://docs.cios.icb.nhs.uk/DocumentsLibrary/NHSCornwallAndIslesOfScilly/Services/IndividualFundingRequests/CommissioningPolicies.pdf</t>
      </text>
    </comment>
    <comment ref="T164" authorId="526" shapeId="0" xr:uid="{58CB8FC5-E71F-4CD4-85E8-668FC3B60AEC}">
      <text>
        <t>[Threaded comment]
Your version of Excel allows you to read this threaded comment; however, any edits to it will get removed if the file is opened in a newer version of Excel. Learn more: https://go.microsoft.com/fwlink/?linkid=870924
Comment:
    https://www.hwics.org.uk/application/files/8217/4117/1631/ICB_Pre-op_Chest_X-ray__ECG_Position_Statement_v1.2_final.pdf tick</t>
      </text>
    </comment>
  </commentList>
</comments>
</file>

<file path=xl/sharedStrings.xml><?xml version="1.0" encoding="utf-8"?>
<sst xmlns="http://schemas.openxmlformats.org/spreadsheetml/2006/main" count="7516" uniqueCount="324">
  <si>
    <t>EBI procedure by ICB</t>
  </si>
  <si>
    <t>NHS South West London Integrated Care Board</t>
  </si>
  <si>
    <t>NHS Bath and North East Somerset, Swindon and Wiltshire Integrated Care Board</t>
  </si>
  <si>
    <t>NHS Bedfordshire, Luton and Milton Keynes Integrated Care Board</t>
  </si>
  <si>
    <t>NHS Birmingham and Solihull Integrated Care Board</t>
  </si>
  <si>
    <t>NHS Black Country Integrated Care Board</t>
  </si>
  <si>
    <t>NHS Bristol, North Somerset and South Gloucestershire Integrated Care Board</t>
  </si>
  <si>
    <t>NHS Buckinghamshire, Oxfordshire and Berkshire West Integrated Care Board</t>
  </si>
  <si>
    <t>NHS Cambridgeshire and Peterborough Integrated Care Board</t>
  </si>
  <si>
    <t>NHS Cheshire and Merseyside Integrated Care Board</t>
  </si>
  <si>
    <t>NHS Cornwall and the Isles of Scilly Integrated Care Board</t>
  </si>
  <si>
    <t>NHS Coventry and Warwickshire Integrated Care Board</t>
  </si>
  <si>
    <t>NHS Derby and Derbyshire Integrated Care Board</t>
  </si>
  <si>
    <t>NHS Devon Integrated Care Board</t>
  </si>
  <si>
    <t>NHS Dorset Integrated Care Board</t>
  </si>
  <si>
    <t>NHS Frimley Integrated Care Board</t>
  </si>
  <si>
    <t>NHS Gloucestershire Integrated Care Board</t>
  </si>
  <si>
    <t>NHS Greater Manchester Integrated Care Board</t>
  </si>
  <si>
    <t>NHS Hampshire and Isle of Wight Integrated Care Board</t>
  </si>
  <si>
    <t>NHS Herefordshire and Worcestershire Integrated Care Board</t>
  </si>
  <si>
    <t>NHS Hertfordshire and West Essex Integrated Care Board</t>
  </si>
  <si>
    <t>NHS Humber and North Yorkshire Integrated Care Board</t>
  </si>
  <si>
    <t>NHS Kent and Medway Integrated Care Board</t>
  </si>
  <si>
    <t>NHS Lancashire and South Cumbria Integrated Care Board</t>
  </si>
  <si>
    <t>NHS Leicester, Leicestershire and Rutland Integrated Care Board</t>
  </si>
  <si>
    <t>NHS Lincolnshire Integrated Care Board</t>
  </si>
  <si>
    <t>NHS Mid and South Essex Integrated Care Board</t>
  </si>
  <si>
    <t xml:space="preserve">NHS Norfolk and Waveney Integrated Care Board </t>
  </si>
  <si>
    <t>NHS North Central London Integrated Care Board</t>
  </si>
  <si>
    <t>NHS North East and North Cumbria Integrated Care Board</t>
  </si>
  <si>
    <t>NHS North East London Integrated Care Board</t>
  </si>
  <si>
    <t>NHS North West London Integrated Care Board</t>
  </si>
  <si>
    <t>NHS Northamptonshire Integrated Care Board</t>
  </si>
  <si>
    <t>NHS Nottingham and Nottinghamshire Integrated Care Board</t>
  </si>
  <si>
    <t>NHS Shropshire, Telford and Wrekin Integrated Care Board</t>
  </si>
  <si>
    <t>NHS Somerset Integrated Care Board</t>
  </si>
  <si>
    <t>NHS South East London Integrated Care Board</t>
  </si>
  <si>
    <t>NHS South Yorkshire Integrated Care Board</t>
  </si>
  <si>
    <t>NHS Staffordshire and Stoke-on-Trent Integrated Care Board</t>
  </si>
  <si>
    <t>NHS Suffolk and North East Essex Integrated Care Board</t>
  </si>
  <si>
    <t>NHS Surrey Heartlands Integrated Care Board</t>
  </si>
  <si>
    <t>NHS Sussex Integrated Care Board</t>
  </si>
  <si>
    <t>NHS West Yorkshire Integrated Care Board</t>
  </si>
  <si>
    <t>EBI (criteria)</t>
  </si>
  <si>
    <t>EBI (do not fund)</t>
  </si>
  <si>
    <t xml:space="preserve">Not in EBI </t>
  </si>
  <si>
    <t>Signpost to national guidance</t>
  </si>
  <si>
    <t>Under Review</t>
  </si>
  <si>
    <t>Total</t>
  </si>
  <si>
    <t>Achilles Tendinopathy</t>
  </si>
  <si>
    <t>N/A</t>
  </si>
  <si>
    <t>IFR</t>
  </si>
  <si>
    <t>Policy under review</t>
  </si>
  <si>
    <t>ü</t>
  </si>
  <si>
    <t>Adenoidectomy</t>
  </si>
  <si>
    <t>Alfa pumps for ascites</t>
  </si>
  <si>
    <t>Anal Irrigation for Constipation/Faecal Incontinence</t>
  </si>
  <si>
    <t>Anal Skin Tag Removal</t>
  </si>
  <si>
    <t>Angioplasty for Percutaneous Coronary Intervention (PCI) in Stable Angina</t>
  </si>
  <si>
    <t>Ankylosing Spondylitis Residential Therapy</t>
  </si>
  <si>
    <t>Appendicectomy (without confirmation of appendicitis)</t>
  </si>
  <si>
    <t>Aquablation for the treatment of lower urinary tract symptoms caused by benign prostatic hyperplasia</t>
  </si>
  <si>
    <t>Arthroscopic Shoulder Decompression for subacromial shoulder pain</t>
  </si>
  <si>
    <t>National EBI guidance</t>
  </si>
  <si>
    <t>Artificial urinary sphincters (AUS) for post-prostatectomy incontinence</t>
  </si>
  <si>
    <t>Autologous Blood/Plasma injection in Tendinopathy</t>
  </si>
  <si>
    <t>Biological Mesh</t>
  </si>
  <si>
    <t>Blood Transfusion</t>
  </si>
  <si>
    <t>Bobath Therapy</t>
  </si>
  <si>
    <t>Body contouring surgery</t>
  </si>
  <si>
    <t>Botulinum toxin (cosmetic)</t>
  </si>
  <si>
    <t>Botulinum Toxin A for Axillary Hyperhidrosis</t>
  </si>
  <si>
    <t>Botulinum Toxin for Anal Fissures</t>
  </si>
  <si>
    <t>Botulinum Toxin for bladder dysfunction</t>
  </si>
  <si>
    <t>Botulinum Toxin for Focal Spasticity</t>
  </si>
  <si>
    <t>Breast enlargment</t>
  </si>
  <si>
    <t>Breast enlargment revision</t>
  </si>
  <si>
    <t>Breast lift (mastopexy)</t>
  </si>
  <si>
    <t>Breast reduction - female</t>
  </si>
  <si>
    <t>Breast reduction - male (gynaecomastia)</t>
  </si>
  <si>
    <t>Cataract surgery</t>
  </si>
  <si>
    <t>Chalazia removal</t>
  </si>
  <si>
    <t>Chemoembolisation of mesothelioma</t>
  </si>
  <si>
    <t>Chronic Fatigure Syndrome - Inpatient/residential treatment</t>
  </si>
  <si>
    <t>Circumcision – Male</t>
  </si>
  <si>
    <t>Coloured overlays for reading difficulties</t>
  </si>
  <si>
    <t>Complementary therapies</t>
  </si>
  <si>
    <t>Continuous Positive Airway Pressure (CPAP) for OSA</t>
  </si>
  <si>
    <t>Cosmetic genital surgery</t>
  </si>
  <si>
    <t>Cough Assist</t>
  </si>
  <si>
    <t>Cryotherapy for recurrent prostate cancer</t>
  </si>
  <si>
    <t>Cystoscopy (male)</t>
  </si>
  <si>
    <t>Desensitising light therapy</t>
  </si>
  <si>
    <t>Diagnostic Spinal Injections</t>
  </si>
  <si>
    <t>Diastasis of Recti</t>
  </si>
  <si>
    <t>Dilatation and Curettage (D&amp;C)</t>
  </si>
  <si>
    <t>Direct access DXA scanning </t>
  </si>
  <si>
    <t>Disc Replacement</t>
  </si>
  <si>
    <t>Discectomy</t>
  </si>
  <si>
    <t>Domiciliary Non-Invasive Ventilation</t>
  </si>
  <si>
    <t>Dysthyroid Eye Disease Surgery</t>
  </si>
  <si>
    <t>Earwax removal</t>
  </si>
  <si>
    <t>ECG (exercise + screening)</t>
  </si>
  <si>
    <t>ECG (pre-operative)</t>
  </si>
  <si>
    <t>Ectropion</t>
  </si>
  <si>
    <t>Endoscopic division of epidural adhesions</t>
  </si>
  <si>
    <t>Endoscopic Laser Foraminoplasty</t>
  </si>
  <si>
    <t>Enhanced external counter-pulsation</t>
  </si>
  <si>
    <t>Entropion</t>
  </si>
  <si>
    <t>Epidural injections for back pain</t>
  </si>
  <si>
    <t>ERCP (Acute gallstone pancreatitis without cholangitis)</t>
  </si>
  <si>
    <t>Excision of Bunion (Hallux Valgus)</t>
  </si>
  <si>
    <t>Excision of Ganglia</t>
  </si>
  <si>
    <t>Eyelid surgery (blepharoplasty)</t>
  </si>
  <si>
    <t>Face - brow lift surgery (Rhytoidectomy)</t>
  </si>
  <si>
    <t>Faecal transplants for C. diff</t>
  </si>
  <si>
    <t>Fat removal (liposuction)</t>
  </si>
  <si>
    <t>Female sterilisation</t>
  </si>
  <si>
    <t>Filtered and Coloured Lenses</t>
  </si>
  <si>
    <t>Frame Surgery (limb lengthening)</t>
  </si>
  <si>
    <t>Functional Electrical Stimulation (FES) for foot drop</t>
  </si>
  <si>
    <t>Haemorrhoidectomy</t>
  </si>
  <si>
    <t>Hair removal (Hair depilation by Laser and Electrolysis)</t>
  </si>
  <si>
    <t>Hair replacement techniques</t>
  </si>
  <si>
    <t>Headache Disorders</t>
  </si>
  <si>
    <t>Helmet Therapy for positional plagiocephaly</t>
  </si>
  <si>
    <t>Hernia repair surgery (Herniorrhaphy)</t>
  </si>
  <si>
    <t>Hip MRI (Osteoarthritis)</t>
  </si>
  <si>
    <t>Hip replacement surgery</t>
  </si>
  <si>
    <t>Home oxygen therapy</t>
  </si>
  <si>
    <t>Hyperthermia treatment</t>
  </si>
  <si>
    <t>Hysterectomy for Heavy Menstrual Bleeding (Menorrhagia)</t>
  </si>
  <si>
    <t>Hysteroscopy for Heavy Menstrual Bleeding (Menorrhagia)</t>
  </si>
  <si>
    <t xml:space="preserve">Immunotherapy for allergic rhinoconjunctivitis  </t>
  </si>
  <si>
    <t>Ingrown Toenail Treatment in Secondary Care</t>
  </si>
  <si>
    <t>Interventions for minor skin lesions</t>
  </si>
  <si>
    <t>Interventions for Snoring (not OSA)</t>
  </si>
  <si>
    <t>Intrauterine Devide Insertion/Removal in Secondary Care</t>
  </si>
  <si>
    <t>I-Port Advance for patients with Diabetes</t>
  </si>
  <si>
    <t>Knee arthroscopy (including knee washout)</t>
  </si>
  <si>
    <t>Knee MRI</t>
  </si>
  <si>
    <t>Knee replacement surgery</t>
  </si>
  <si>
    <t>Laryngeal and Vocal Chord Surgery</t>
  </si>
  <si>
    <t>Laser eye surgery</t>
  </si>
  <si>
    <t>Lycra Body Suits</t>
  </si>
  <si>
    <t>Macular Degeneration (Implantable mini telescope)</t>
  </si>
  <si>
    <t>Macular Degeneration (Oraya Therapy)</t>
  </si>
  <si>
    <t>Macular Degeneration (Photodynamic Therapy)</t>
  </si>
  <si>
    <t>Manual Lymphatic Drain (MLD)</t>
  </si>
  <si>
    <t>Multifocal intraocular lenses in treatment of adults with cataracts</t>
  </si>
  <si>
    <t>Nasal Surgery (Rhinoplasty, Septoplasty, Septo-rhinoplasty, Nasal Polyps)</t>
  </si>
  <si>
    <t>Negative Pressure Wound Therapy</t>
  </si>
  <si>
    <t>Non-rigid Spinal Stabilisation</t>
  </si>
  <si>
    <t>Obesity surgery (Bariatric surgery)</t>
  </si>
  <si>
    <t>Open MRI</t>
  </si>
  <si>
    <t>Orthoses</t>
  </si>
  <si>
    <t>Paediatric Foot Problems</t>
  </si>
  <si>
    <t>Penile rehabilitation following prostate surgery</t>
  </si>
  <si>
    <t>Peripheral Nerve Stimulation for Back Pain</t>
  </si>
  <si>
    <t>Photodynamic Therapy (PDT) for Management of Central Serous Chorioretinopathy (CSCR)</t>
  </si>
  <si>
    <t>Photodynamic therapy for skin lesions</t>
  </si>
  <si>
    <t>Posterior Tibial Nerve Stimulation</t>
  </si>
  <si>
    <t>Radiofrequency denervation</t>
  </si>
  <si>
    <t>Real-time continuous glucose monitoring</t>
  </si>
  <si>
    <t>Repeat colonoscopy for hereditary cancers</t>
  </si>
  <si>
    <t>Repeat colonoscopy post-polypectomy/resection</t>
  </si>
  <si>
    <t>Repetitive Transcranial Magnetic Stimulation for Depression</t>
  </si>
  <si>
    <t>Reversal of sterilisation</t>
  </si>
  <si>
    <t>Sacroneuromodulation</t>
  </si>
  <si>
    <t>Scar revision surgery (Keloidectomy)</t>
  </si>
  <si>
    <t>Screening for Carotid Artery Stenosis (Asymptomatic)</t>
  </si>
  <si>
    <t>Scrotal surgery (hydroceles,epididymal cysts,varicocele,testicular implants)</t>
  </si>
  <si>
    <t>Shoulder Replacement</t>
  </si>
  <si>
    <t>Simultaneous joint replacement surgery</t>
  </si>
  <si>
    <t>Spinal decompression</t>
  </si>
  <si>
    <t>Spinal fusion</t>
  </si>
  <si>
    <t>Strabismus</t>
  </si>
  <si>
    <t>Surgery for Asymptomatic gallstones</t>
  </si>
  <si>
    <t>Surgery for Bartholin cyst</t>
  </si>
  <si>
    <t>Surgery for Benign Prostatic Hyperplasia</t>
  </si>
  <si>
    <t>Surgery for Carpal Tunnel</t>
  </si>
  <si>
    <t>Surgery for Chronic Rhinosinusitis</t>
  </si>
  <si>
    <t>Surgery for Dupuytren’s Contracture (Fasiotomy/fasiectomy)</t>
  </si>
  <si>
    <t>Surgery for Female Genital Prolapse</t>
  </si>
  <si>
    <t>Surgery for glue ear - Adults (Grommets)</t>
  </si>
  <si>
    <t>Surgery for glue ear - Children (Grommets)</t>
  </si>
  <si>
    <t>Surgery for Hip Impingement</t>
  </si>
  <si>
    <t>Surgery for Kidney Stones</t>
  </si>
  <si>
    <t>Surgery for Morton's Neuroma</t>
  </si>
  <si>
    <t>Surgery for Obstructive Sleep Apnoea in Adults</t>
  </si>
  <si>
    <t>Surgery for Peri-Prosthetic Infection</t>
  </si>
  <si>
    <t>Surgery for Rectal Prolapse</t>
  </si>
  <si>
    <t>Surgery for Rheumatoid Nodules</t>
  </si>
  <si>
    <t>Surgery for Rhinophyma</t>
  </si>
  <si>
    <t>Surgery for Tongue-Tie</t>
  </si>
  <si>
    <t>Surgery for Trigger finger</t>
  </si>
  <si>
    <t>Surgery for Uterine Fibroids (minimally invasive)</t>
  </si>
  <si>
    <t>Surgery for Varicose Veins</t>
  </si>
  <si>
    <t>Surgery/Shockwave ultrasound for Peyronie's Disease</t>
  </si>
  <si>
    <t>Surgical correction of nipple inversion</t>
  </si>
  <si>
    <t>Surgical correction of prominent ears (Pinnaplasty)</t>
  </si>
  <si>
    <t>Surgical repair of external ear lobe (Lobules)</t>
  </si>
  <si>
    <t>Tattoo removal</t>
  </si>
  <si>
    <t>Temporomandibular Joint Replacement</t>
  </si>
  <si>
    <t>Thoracic sympathectomy</t>
  </si>
  <si>
    <t>Tonsillectomy</t>
  </si>
  <si>
    <t>Treatment of hyperpigmentation</t>
  </si>
  <si>
    <t>Treatment of Vitreous Floaters</t>
  </si>
  <si>
    <t>Trophic Electrical Stimulation</t>
  </si>
  <si>
    <t>Ultrasound and pulsed electromagnetic systems for bone healing.</t>
  </si>
  <si>
    <t>Upper GI endoscopy</t>
  </si>
  <si>
    <t>Vaginal Synthetic Mesh to Treat Stress Urinary Incontinence or Urogynaecological Prolapse</t>
  </si>
  <si>
    <t>Vasectomy</t>
  </si>
  <si>
    <t xml:space="preserve">Vertebral Augmentation (vertebroplasty or kyphoplasty)  </t>
  </si>
  <si>
    <t>Wireless Capsule Endoscopy and Double Balloon Enteroscopy</t>
  </si>
  <si>
    <t>X-ray (Pre-operative Chest)</t>
  </si>
  <si>
    <t>X-ray (Sinuses)</t>
  </si>
  <si>
    <t>% funded with criteria</t>
  </si>
  <si>
    <t>Average criteria funded</t>
  </si>
  <si>
    <t>% funded with IFR</t>
  </si>
  <si>
    <t>Average IFR</t>
  </si>
  <si>
    <t>% not mentioned</t>
  </si>
  <si>
    <t>Average N/A</t>
  </si>
  <si>
    <t>% under review</t>
  </si>
  <si>
    <t>Average under review</t>
  </si>
  <si>
    <t>% signpost to national EBI guidance</t>
  </si>
  <si>
    <t>Average EDI signposting</t>
  </si>
  <si>
    <t>Number of differences from initial review</t>
  </si>
  <si>
    <t>Total number procedures at initial review</t>
  </si>
  <si>
    <t>Variation from initial review</t>
  </si>
  <si>
    <t>Average variation between reviews</t>
  </si>
  <si>
    <t>ICB</t>
  </si>
  <si>
    <t>Policy link</t>
  </si>
  <si>
    <t>NHS-South-West-London-evidence-based-interventions-policy-4.1.pdf</t>
  </si>
  <si>
    <t>Documents and reports - Bath and North East Somerset, Swindon and Wiltshire ICB</t>
  </si>
  <si>
    <t>Evidence Based Intervention Policies - BLMK Integrated Care Board</t>
  </si>
  <si>
    <t>Healthcare policies :: NHS Birmingham and Solihull</t>
  </si>
  <si>
    <t>Phase 1</t>
  </si>
  <si>
    <t>https://blackcountry.icb.nhs.uk/have-your-say/get-involved/current-consultations-and-engagement/clinical-policy-harmonisation1</t>
  </si>
  <si>
    <t>Phase 2</t>
  </si>
  <si>
    <t>https://blackcountry.icb.nhs.uk/have-your-say/get-involved/current-consultations-and-engagement/clinical-policy-review2</t>
  </si>
  <si>
    <t>Phase 3</t>
  </si>
  <si>
    <t>https://blackcountry.icb.nhs.uk/have-your-say/get-involved/current-consultations-and-engagement/clinical-policy-review3</t>
  </si>
  <si>
    <t>Phase 4</t>
  </si>
  <si>
    <t>https://blackcountry.icb.nhs.uk/have-your-say/get-involved/current-consultations-and-engagement/clinical-policy-review4</t>
  </si>
  <si>
    <t>Library - NHS BNSSG ICB</t>
  </si>
  <si>
    <t>Clinical Commissioning Policy Statements &amp; IFRs | BOB ICB</t>
  </si>
  <si>
    <t>https://www.cpics.org.uk/clinical-policies</t>
  </si>
  <si>
    <t>Clinical policies - NHS Cheshire and Merseyside</t>
  </si>
  <si>
    <t>Treatment policies - NHS Cornwall and Isles of Scilly</t>
  </si>
  <si>
    <t>Document Library - Happy Healthy Lives</t>
  </si>
  <si>
    <t>Clinical Policies</t>
  </si>
  <si>
    <t>Clinical commissioning policies Archives - One Devon</t>
  </si>
  <si>
    <t>Policies – NHS Dorset</t>
  </si>
  <si>
    <t>https://fundingrequests.scwcsu.nhs.uk/policies-and-application-forms-frimley/</t>
  </si>
  <si>
    <t>Individual funding requests : NHS Gloucestershire ICB</t>
  </si>
  <si>
    <t>https://gbr01.safelinks.protection.outlook.com/?url=https%3A%2F%2Fnhsgmgmicbsa.blob.core.windows.net%2Fnhsgmgmicbblobstorage%2FGMEUR%2FCommissioning%2520Statements%2FGM%2520Commissioning%2520Statements%2520descriptions.pdf&amp;data=05%7C02%7Cgmhscp.digital%40nhs.net%7C8f91a1c6abfa4e3c3d4808dd571b45e0%7C37c354b285b047f5b22207b48d774ee3%7C0%7C0%7C638762497361557619%7CUnknown%7CTWFpbGZsb3d8eyJFbXB0eU1hcGkiOnRydWUsIlYiOiIwLjAuMDAwMCIsIlAiOiJXaW4zMiIsIkFOIjoiTWFpbCIsIldUIjoyfQ%3D%3D%7C0%7C%7C%7C&amp;sdata=YXtMO%2BPvHKSkHmka%2B751TURYCGubw%2F63STFEweuf2vc%3D&amp;reserved=0</t>
  </si>
  <si>
    <t>https://fundingrequests.scwcsu.nhs.uk/hampshire-and-isle-of-wight-icb/policies-and-application-forms-hampshire-and-isle-of-wight/</t>
  </si>
  <si>
    <t>Clinical and Prescribing Policies, Guidance and Pathways :: Herefordshire and Worcestershire Integrated Care System</t>
  </si>
  <si>
    <t>Clinical Policies Group, Evidence-based interventions &amp; Individual Funding Requests</t>
  </si>
  <si>
    <t>Commissioning Policies - Humber and North Yorkshire Integrated Care Board (ICB)</t>
  </si>
  <si>
    <t>KM_RaTC_April_2024.pdf</t>
  </si>
  <si>
    <t>LSC Integrated Care Board :: Commissioning policies</t>
  </si>
  <si>
    <t>Healthcare and treatment policies - LLR ICB</t>
  </si>
  <si>
    <t>ICB CLINICAL 003 - Prior Approval Policy</t>
  </si>
  <si>
    <t>Publications - Mid and South Essex Integrated Care System</t>
  </si>
  <si>
    <t>Clinical Threshold Policies and IFR (Drugs and Non-Drugs) - Knowledge NoW</t>
  </si>
  <si>
    <t>Microsoft Word - NCL EBICS Policy v9.2</t>
  </si>
  <si>
    <t>icp040-value-based-clinical-commissioning-policy-v13-0.pdf</t>
  </si>
  <si>
    <t>NEL-EBI-Policy-Version-2.2-Final.pdf</t>
  </si>
  <si>
    <t>Planned procedures with a threshold :: North West London ICS</t>
  </si>
  <si>
    <t>Documents | Integrated Care Northamptonshire</t>
  </si>
  <si>
    <t>Value Based Commissioning Policy</t>
  </si>
  <si>
    <t>20240314-VBC-Policy-v5-Final.pdf</t>
  </si>
  <si>
    <t>Evidence Based Interventions - NHS Somerset ICB</t>
  </si>
  <si>
    <t>Bexley Primary Care Group</t>
  </si>
  <si>
    <t>SYICB</t>
  </si>
  <si>
    <t>staffsstoke.icb.nhs.uk/your-nhs-integrated-care-board/our-publications/governance-handbook/all-policies/commissioning/icb-excluded-and-restricted-procedures-policy-v3-1/?layout=file</t>
  </si>
  <si>
    <t>Our policies and strategies - NHS Suffolk and North East Essex ICB</t>
  </si>
  <si>
    <t>Search - ICS</t>
  </si>
  <si>
    <t>int.sussex.ics.nhs.uk/clinical_documents/sussex-cec-clinical-policy/</t>
  </si>
  <si>
    <t>Commissioning policies :: West Yorkshire Health &amp; Care Partnership</t>
  </si>
  <si>
    <t xml:space="preserve">https://bsw.icb.nhs.uk/your-health/what-we-do-and-dont-fund/ </t>
  </si>
  <si>
    <t>Therapeutic spinal injection</t>
  </si>
  <si>
    <t>Taking Prior Approval as form of tick</t>
  </si>
  <si>
    <t>Taking N/A as not being listed. Whereas IFR is not funded.</t>
  </si>
  <si>
    <t>viral warts</t>
  </si>
  <si>
    <t>Haemangiomas</t>
  </si>
  <si>
    <t>Bristol - foot - mutliple conditions</t>
  </si>
  <si>
    <t>Bucks - biologics for crohn's</t>
  </si>
  <si>
    <t>Bucks - gluten free food</t>
  </si>
  <si>
    <t xml:space="preserve">Chesire - MSK - multiple incl plantar fasciitis &amp; psych </t>
  </si>
  <si>
    <t>https://www.nhsglos.nhs.uk/your-health-services/funding-treatment/individual-funding-requests/effective-clinical-commissioning-policy-list/</t>
  </si>
  <si>
    <t xml:space="preserve">https://www.lancashireandsouthcumbria.icb.nhs.uk/our-work/commissioning-policies/reviewed-clinical-policy </t>
  </si>
  <si>
    <t>Herefordsgide - amiodraone, doacs etc, primary hyperch</t>
  </si>
  <si>
    <t>Herefordshire - adhd, insomnia, sleeping, smoking</t>
  </si>
  <si>
    <t>Herefordshire - gluten free food</t>
  </si>
  <si>
    <t>Yorkshire Humber - dermal fillers</t>
  </si>
  <si>
    <t>Lancashire Sensory integration therapy https://www.healthierlsc.co.uk/application/files/8616/7576/5523/LSCICB_Clin14_Policy_for_Sensory_Integration_Therapy_v1.1.pdf</t>
  </si>
  <si>
    <t>Lancashire - pectus excavation https://www.healthierlsc.co.uk/application/files/4816/8487/3599/LSCICB_Clin43_Policy_for_Cosmetic_Procedures_v3.2.pdf</t>
  </si>
  <si>
    <t>Genital warts</t>
  </si>
  <si>
    <t xml:space="preserve">Mid and South Essex and others - breast asymmetry </t>
  </si>
  <si>
    <t>https://northeastnorthcumbria.nhs.uk/media/dimlerzs/value-based-clinical-commissioning-policy.pdf</t>
  </si>
  <si>
    <t>NWL penile implants https://www.nwlondonicb.nhs.uk/application/files/6616/7664/3315/Penile_Implants_v7.pdf</t>
  </si>
  <si>
    <t>NWL PSG https://www.nwlondonicb.nhs.uk/application/files/5316/7664/3315/Polysomnography_v7.pdf</t>
  </si>
  <si>
    <t>Surrey https://www.surreyheartlands.org/tnrf1-other residential pain management</t>
  </si>
  <si>
    <t>https://www.surreyheartlands.org/treatments-not-routinely-funded-two</t>
  </si>
  <si>
    <t>https://www.surreyheartlands.org/treatments-not-routinely-funded-procedures-one</t>
  </si>
  <si>
    <t>Extracorporeal Shockwave Therapy - MSK</t>
  </si>
  <si>
    <t>National EBI Guidance</t>
  </si>
  <si>
    <t>ICBs Fund w/Criteria</t>
  </si>
  <si>
    <t>ICBs IFR/Do not Fund</t>
  </si>
  <si>
    <t>ICBs that don't mention procedure, are reviewing policy, or refer to national guidance</t>
  </si>
  <si>
    <t>Documentation Completeness</t>
  </si>
  <si>
    <t>(%)</t>
  </si>
  <si>
    <r>
      <t xml:space="preserve">Restriction </t>
    </r>
    <r>
      <rPr>
        <b/>
        <sz val="11"/>
        <color rgb="FF000000"/>
        <rFont val="Calibri"/>
        <family val="2"/>
      </rPr>
      <t>Index</t>
    </r>
  </si>
  <si>
    <r>
      <t xml:space="preserve">All-ICB CVI </t>
    </r>
    <r>
      <rPr>
        <b/>
        <sz val="11"/>
        <color rgb="FF000000"/>
        <rFont val="Calibri"/>
        <family val="2"/>
      </rPr>
      <t>(%)</t>
    </r>
  </si>
  <si>
    <t>Decision-based CVI (%)</t>
  </si>
  <si>
    <t>Insufficient ICBs to calculate</t>
  </si>
  <si>
    <t>Breast enlargement</t>
  </si>
  <si>
    <t>Breast enlargement revision</t>
  </si>
  <si>
    <t>Extracorporeal Shockwave Therapy</t>
  </si>
  <si>
    <t>Face - brow lift surgery (Rhytidectomy)</t>
  </si>
  <si>
    <t>Frame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</si>
</sst>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1"/>
      <color rgb="FF000000"/>
      <name val="Calibri"/>
      <family val="2"/>
    </font>
    <font>
      <sz val="11"/>
      <name val="Calibri"/>
      <family val="2"/>
    </font>
    <font>
      <sz val="11"/>
      <color rgb="FF000000"/>
      <name val="Wingdings"/>
      <charset val="2"/>
    </font>
    <font>
      <sz val="11"/>
      <name val="Wingdings"/>
      <charset val="2"/>
    </font>
    <font>
      <sz val="11"/>
      <color rgb="FF000000"/>
      <name val="Calibri"/>
      <family val="2"/>
      <scheme val="minor"/>
    </font>
    <font>
      <sz val="11"/>
      <color rgb="FF231F20"/>
      <name val="Calibri"/>
      <family val="2"/>
    </font>
    <font>
      <sz val="11"/>
      <name val="Calibri"/>
      <family val="2"/>
      <scheme val="minor"/>
    </font>
    <font>
      <b/>
      <sz val="9"/>
      <color indexed="81"/>
      <name val="Tahoma"/>
      <family val="2"/>
    </font>
    <font>
      <sz val="9"/>
      <color indexed="81"/>
      <name val="Tahoma"/>
      <family val="2"/>
    </font>
    <font>
      <u/>
      <sz val="11"/>
      <color theme="10"/>
      <name val="Calibri"/>
      <family val="2"/>
      <scheme val="minor"/>
    </font>
    <font>
      <sz val="11"/>
      <color theme="0"/>
      <name val="Calibri"/>
      <family val="2"/>
    </font>
    <font>
      <b/>
      <sz val="11"/>
      <color theme="0"/>
      <name val="Calibri"/>
      <family val="2"/>
    </font>
    <font>
      <sz val="11"/>
      <color theme="0"/>
      <name val="Wingdings"/>
      <charset val="2"/>
    </font>
    <font>
      <sz val="11"/>
      <color rgb="FF000000"/>
      <name val="Calibri Light"/>
      <family val="2"/>
      <scheme val="major"/>
    </font>
    <font>
      <sz val="11"/>
      <name val="Calibri Light"/>
      <family val="2"/>
      <scheme val="major"/>
    </font>
    <font>
      <sz val="11"/>
      <color theme="0"/>
      <name val="Calibri Light"/>
      <family val="2"/>
      <scheme val="major"/>
    </font>
    <font>
      <b/>
      <sz val="11"/>
      <color rgb="FF000000"/>
      <name val="Calibri"/>
      <family val="2"/>
    </font>
    <font>
      <b/>
      <sz val="11"/>
      <color rgb="FFFF0000"/>
      <name val="Calibri"/>
      <family val="2"/>
    </font>
    <font>
      <sz val="11"/>
      <color rgb="FF000000"/>
      <name val="Aptos Narrow"/>
      <family val="2"/>
    </font>
    <font>
      <sz val="11"/>
      <color rgb="FFFF0000"/>
      <name val="Aptos Narrow"/>
      <family val="2"/>
    </font>
    <font>
      <sz val="11"/>
      <color theme="1"/>
      <name val="Aptos Narrow"/>
      <family val="2"/>
    </font>
    <font>
      <b/>
      <sz val="11"/>
      <color rgb="FF000000"/>
      <name val="Aptos Narrow"/>
      <family val="2"/>
    </font>
    <font>
      <b/>
      <sz val="11"/>
      <color rgb="FF231F20"/>
      <name val="Calibri"/>
      <family val="2"/>
    </font>
  </fonts>
  <fills count="13">
    <fill>
      <patternFill patternType="none"/>
    </fill>
    <fill>
      <patternFill patternType="gray125"/>
    </fill>
    <fill>
      <patternFill patternType="solid">
        <fgColor rgb="FFF8CBAD"/>
        <bgColor rgb="FF000000"/>
      </patternFill>
    </fill>
    <fill>
      <patternFill patternType="solid">
        <fgColor theme="5" tint="0.59999389629810485"/>
        <bgColor rgb="FF000000"/>
      </patternFill>
    </fill>
    <fill>
      <patternFill patternType="solid">
        <fgColor theme="5" tint="0.59999389629810485"/>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8" tint="0.39997558519241921"/>
        <bgColor indexed="64"/>
      </patternFill>
    </fill>
    <fill>
      <patternFill patternType="solid">
        <fgColor rgb="FF7030A0"/>
        <bgColor indexed="64"/>
      </patternFill>
    </fill>
    <fill>
      <patternFill patternType="solid">
        <fgColor rgb="FFEE0000"/>
        <bgColor indexed="64"/>
      </patternFill>
    </fill>
    <fill>
      <patternFill patternType="solid">
        <fgColor theme="4" tint="0.59999389629810485"/>
        <bgColor indexed="64"/>
      </patternFill>
    </fill>
    <fill>
      <patternFill patternType="solid">
        <fgColor rgb="FFC00000"/>
        <bgColor indexed="64"/>
      </patternFill>
    </fill>
  </fills>
  <borders count="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3">
    <xf numFmtId="0" fontId="0" fillId="0" borderId="0"/>
    <xf numFmtId="9" fontId="1" fillId="0" borderId="0" applyFont="0" applyFill="0" applyBorder="0" applyAlignment="0" applyProtection="0"/>
    <xf numFmtId="0" fontId="11" fillId="0" borderId="0" applyNumberFormat="0" applyFill="0" applyBorder="0" applyAlignment="0" applyProtection="0"/>
  </cellStyleXfs>
  <cellXfs count="62">
    <xf numFmtId="0" fontId="0" fillId="0" borderId="0" xfId="0"/>
    <xf numFmtId="0" fontId="2" fillId="2" borderId="0" xfId="0" applyFont="1" applyFill="1"/>
    <xf numFmtId="0" fontId="3" fillId="3" borderId="0" xfId="0" applyFont="1" applyFill="1"/>
    <xf numFmtId="0" fontId="2" fillId="3" borderId="0" xfId="0" applyFont="1" applyFill="1"/>
    <xf numFmtId="0" fontId="0" fillId="4" borderId="0" xfId="0" applyFill="1"/>
    <xf numFmtId="0" fontId="2" fillId="0" borderId="0" xfId="0" applyFont="1"/>
    <xf numFmtId="0" fontId="3" fillId="0" borderId="0" xfId="0" applyFont="1"/>
    <xf numFmtId="0" fontId="2" fillId="0" borderId="0" xfId="0" applyFont="1" applyAlignment="1">
      <alignment wrapText="1"/>
    </xf>
    <xf numFmtId="0" fontId="7" fillId="0" borderId="0" xfId="0" applyFont="1"/>
    <xf numFmtId="9" fontId="0" fillId="0" borderId="0" xfId="1" applyFont="1"/>
    <xf numFmtId="9" fontId="0" fillId="0" borderId="0" xfId="1" applyFont="1" applyFill="1"/>
    <xf numFmtId="17" fontId="0" fillId="0" borderId="0" xfId="0" applyNumberFormat="1"/>
    <xf numFmtId="0" fontId="8" fillId="0" borderId="0" xfId="0" applyFont="1"/>
    <xf numFmtId="10" fontId="0" fillId="0" borderId="0" xfId="1" applyNumberFormat="1" applyFont="1"/>
    <xf numFmtId="10" fontId="0" fillId="0" borderId="0" xfId="0" applyNumberFormat="1"/>
    <xf numFmtId="0" fontId="11" fillId="0" borderId="0" xfId="2"/>
    <xf numFmtId="0" fontId="2" fillId="5" borderId="0" xfId="0" applyFont="1" applyFill="1"/>
    <xf numFmtId="0" fontId="2" fillId="6" borderId="0" xfId="0" applyFont="1" applyFill="1"/>
    <xf numFmtId="0" fontId="4" fillId="5" borderId="0" xfId="0" applyFont="1" applyFill="1"/>
    <xf numFmtId="0" fontId="6" fillId="5" borderId="0" xfId="0" applyFont="1" applyFill="1"/>
    <xf numFmtId="0" fontId="0" fillId="7" borderId="0" xfId="0" applyFill="1"/>
    <xf numFmtId="0" fontId="3" fillId="5" borderId="0" xfId="0" applyFont="1" applyFill="1"/>
    <xf numFmtId="0" fontId="4" fillId="5" borderId="0" xfId="0" applyFont="1" applyFill="1" applyAlignment="1">
      <alignment wrapText="1"/>
    </xf>
    <xf numFmtId="0" fontId="1" fillId="5" borderId="0" xfId="0" applyFont="1" applyFill="1"/>
    <xf numFmtId="0" fontId="0" fillId="6" borderId="0" xfId="0" applyFill="1"/>
    <xf numFmtId="0" fontId="5" fillId="5" borderId="0" xfId="0" applyFont="1" applyFill="1"/>
    <xf numFmtId="0" fontId="2" fillId="8" borderId="0" xfId="0" applyFont="1" applyFill="1"/>
    <xf numFmtId="0" fontId="4" fillId="8" borderId="0" xfId="0" applyFont="1" applyFill="1"/>
    <xf numFmtId="0" fontId="12" fillId="9" borderId="0" xfId="0" applyFont="1" applyFill="1"/>
    <xf numFmtId="0" fontId="13" fillId="9" borderId="0" xfId="0" applyFont="1" applyFill="1"/>
    <xf numFmtId="0" fontId="4" fillId="10" borderId="0" xfId="0" applyFont="1" applyFill="1"/>
    <xf numFmtId="0" fontId="14" fillId="9" borderId="0" xfId="0" applyFont="1" applyFill="1"/>
    <xf numFmtId="0" fontId="2" fillId="11" borderId="0" xfId="0" applyFont="1" applyFill="1"/>
    <xf numFmtId="0" fontId="6" fillId="11" borderId="0" xfId="0" applyFont="1" applyFill="1"/>
    <xf numFmtId="0" fontId="6" fillId="8" borderId="0" xfId="0" applyFont="1" applyFill="1"/>
    <xf numFmtId="0" fontId="15" fillId="8" borderId="0" xfId="0" applyFont="1" applyFill="1"/>
    <xf numFmtId="0" fontId="5" fillId="8" borderId="0" xfId="0" applyFont="1" applyFill="1"/>
    <xf numFmtId="0" fontId="16" fillId="8" borderId="0" xfId="0" applyFont="1" applyFill="1"/>
    <xf numFmtId="0" fontId="3" fillId="8" borderId="0" xfId="0" applyFont="1" applyFill="1"/>
    <xf numFmtId="0" fontId="6" fillId="10" borderId="0" xfId="0" applyFont="1" applyFill="1"/>
    <xf numFmtId="0" fontId="17" fillId="9" borderId="0" xfId="0" applyFont="1" applyFill="1"/>
    <xf numFmtId="0" fontId="4" fillId="9" borderId="0" xfId="0" applyFont="1" applyFill="1"/>
    <xf numFmtId="0" fontId="14" fillId="12" borderId="0" xfId="0" applyFont="1" applyFill="1"/>
    <xf numFmtId="0" fontId="8" fillId="8" borderId="0" xfId="0" applyFont="1" applyFill="1"/>
    <xf numFmtId="0" fontId="12" fillId="12" borderId="0" xfId="0" applyFont="1" applyFill="1"/>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8" fillId="0" borderId="2" xfId="0" applyFont="1" applyBorder="1" applyAlignment="1">
      <alignment vertical="center"/>
    </xf>
    <xf numFmtId="0" fontId="20" fillId="0" borderId="4" xfId="0" applyFont="1" applyBorder="1" applyAlignment="1">
      <alignment horizontal="center" vertical="center"/>
    </xf>
    <xf numFmtId="0" fontId="21" fillId="0" borderId="4" xfId="0" applyFont="1" applyBorder="1" applyAlignment="1">
      <alignment horizontal="center" vertical="center" wrapText="1"/>
    </xf>
    <xf numFmtId="0" fontId="22" fillId="0" borderId="4" xfId="0" applyFont="1" applyBorder="1" applyAlignment="1">
      <alignment horizontal="center" vertical="center" wrapText="1"/>
    </xf>
    <xf numFmtId="0" fontId="18" fillId="0" borderId="2" xfId="0" applyFont="1" applyBorder="1" applyAlignment="1">
      <alignment vertical="center" wrapText="1"/>
    </xf>
    <xf numFmtId="0" fontId="23" fillId="0" borderId="2" xfId="0" applyFont="1" applyBorder="1" applyAlignment="1">
      <alignment vertical="center"/>
    </xf>
    <xf numFmtId="0" fontId="24" fillId="0" borderId="2" xfId="0" applyFont="1" applyBorder="1" applyAlignment="1">
      <alignment vertical="center"/>
    </xf>
    <xf numFmtId="0" fontId="18" fillId="0" borderId="1" xfId="0" applyFont="1" applyBorder="1" applyAlignment="1">
      <alignment vertical="center"/>
    </xf>
    <xf numFmtId="0" fontId="18" fillId="0" borderId="2" xfId="0" applyFont="1" applyBorder="1" applyAlignment="1">
      <alignment vertical="center"/>
    </xf>
    <xf numFmtId="0" fontId="18" fillId="0" borderId="1" xfId="0" applyFont="1" applyBorder="1" applyAlignment="1">
      <alignment horizontal="center" vertical="center"/>
    </xf>
    <xf numFmtId="0" fontId="18" fillId="0" borderId="2" xfId="0" applyFont="1" applyBorder="1" applyAlignment="1">
      <alignment horizontal="center" vertical="center"/>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cellXfs>
  <cellStyles count="3">
    <cellStyle name="Hyperlink" xfId="2" builtinId="8"/>
    <cellStyle name="Normal" xfId="0" builtinId="0"/>
    <cellStyle name="Percent" xfId="1" builtinId="5"/>
  </cellStyles>
  <dxfs count="81">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dxf>
    <dxf>
      <fill>
        <patternFill patternType="none">
          <fgColor indexed="64"/>
          <bgColor auto="1"/>
        </patternFill>
      </fill>
    </dxf>
    <dxf>
      <fill>
        <patternFill patternType="solid">
          <fgColor indexed="64"/>
          <bgColor theme="5"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Ogier, Anna S" id="{95736710-EFA0-493C-AAE5-6E4C07E0F9AD}" userId="S::aogier@ic.ac.uk::909ab782-595a-4100-893e-219dc35b26f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39BCF1-DCA4-4F82-BCC0-176D62287D6A}" name="Table2" displayName="Table2" ref="A1:AW166" totalsRowCount="1" headerRowDxfId="80" dataDxfId="79">
  <autoFilter ref="A1:AW165" xr:uid="{082BADD5-4DC9-4412-8E81-A0861F6069D4}"/>
  <sortState xmlns:xlrd2="http://schemas.microsoft.com/office/spreadsheetml/2017/richdata2" ref="A2:AW165">
    <sortCondition ref="A1:A165"/>
  </sortState>
  <tableColumns count="49">
    <tableColumn id="1" xr3:uid="{01A6ADD5-985C-471F-A81C-F417FF538452}" name="EBI procedure by ICB" totalsRowLabel="Total" dataDxfId="78" totalsRowDxfId="77"/>
    <tableColumn id="2" xr3:uid="{F49D45FE-1A2D-487A-BC7E-2C7430436B33}" name="NHS South West London Integrated Care Board" dataDxfId="76"/>
    <tableColumn id="3" xr3:uid="{45785EA1-5221-4502-BFDF-A2857BA22FB4}" name="NHS Bath and North East Somerset, Swindon and Wiltshire Integrated Care Board" dataDxfId="75"/>
    <tableColumn id="4" xr3:uid="{B97EE75B-5AFF-469A-880F-85DEE93A3691}" name="NHS Bedfordshire, Luton and Milton Keynes Integrated Care Board" dataDxfId="74"/>
    <tableColumn id="5" xr3:uid="{56DCA454-10A2-4B62-A734-92785C440A3E}" name="NHS Birmingham and Solihull Integrated Care Board" dataDxfId="73" totalsRowDxfId="72"/>
    <tableColumn id="6" xr3:uid="{7CFB3B98-CB05-4BC0-A41D-5837AD70A663}" name="NHS Black Country Integrated Care Board" dataDxfId="71" totalsRowDxfId="70"/>
    <tableColumn id="7" xr3:uid="{A2DE9930-E921-4554-A092-10DC819CC49D}" name="NHS Bristol, North Somerset and South Gloucestershire Integrated Care Board" dataDxfId="69"/>
    <tableColumn id="8" xr3:uid="{ED727282-0342-4F84-A546-284565AF0918}" name="NHS Buckinghamshire, Oxfordshire and Berkshire West Integrated Care Board" dataDxfId="68"/>
    <tableColumn id="9" xr3:uid="{E20126EF-E638-4B8A-A3D1-99A584C7CA32}" name="NHS Cambridgeshire and Peterborough Integrated Care Board" dataDxfId="67" totalsRowDxfId="66"/>
    <tableColumn id="10" xr3:uid="{8C77F55A-652C-4DC5-A875-8AE049C393F8}" name="NHS Cheshire and Merseyside Integrated Care Board" dataDxfId="65" totalsRowDxfId="64"/>
    <tableColumn id="11" xr3:uid="{1E17FC24-24C2-4061-99FA-318462517957}" name="NHS Cornwall and the Isles of Scilly Integrated Care Board" dataDxfId="63"/>
    <tableColumn id="12" xr3:uid="{8188DEA7-90DB-4112-8164-45B2FA301450}" name="NHS Coventry and Warwickshire Integrated Care Board" dataDxfId="62"/>
    <tableColumn id="13" xr3:uid="{A3B0BBC9-7FE7-44AB-9CAE-3FDA46B5461D}" name="NHS Derby and Derbyshire Integrated Care Board" dataDxfId="61" totalsRowDxfId="60"/>
    <tableColumn id="14" xr3:uid="{5110C9F4-E45D-4F70-B6E8-C64B72044A39}" name="NHS Devon Integrated Care Board" dataDxfId="59"/>
    <tableColumn id="15" xr3:uid="{F68B8BB8-5E12-4B10-BF8C-475B2D5D3F39}" name="NHS Dorset Integrated Care Board" dataDxfId="58" totalsRowDxfId="57"/>
    <tableColumn id="16" xr3:uid="{4905371C-CC29-4D59-95FC-D75DBF793EA9}" name="NHS Frimley Integrated Care Board" dataDxfId="56" totalsRowDxfId="55"/>
    <tableColumn id="17" xr3:uid="{F2F2C2C6-9A62-4660-B30F-FA9FADAA4ACE}" name="NHS Gloucestershire Integrated Care Board" dataDxfId="54"/>
    <tableColumn id="18" xr3:uid="{02C9A780-0871-4DF5-AE56-71623E09651A}" name="NHS Greater Manchester Integrated Care Board" dataDxfId="53" totalsRowDxfId="52"/>
    <tableColumn id="19" xr3:uid="{642DDD3B-06C3-47DE-AD57-FCDE41998E7F}" name="NHS Hampshire and Isle of Wight Integrated Care Board" dataDxfId="51" totalsRowDxfId="50"/>
    <tableColumn id="20" xr3:uid="{030C8CBB-6FD7-41EA-B373-5D4BB5D41785}" name="NHS Herefordshire and Worcestershire Integrated Care Board" dataDxfId="49" totalsRowDxfId="48"/>
    <tableColumn id="21" xr3:uid="{159508C7-575A-4E1D-9A64-C5665C001086}" name="NHS Hertfordshire and West Essex Integrated Care Board" dataDxfId="47"/>
    <tableColumn id="22" xr3:uid="{D19A5250-5929-4684-9C1F-FC1E745FC998}" name="NHS Humber and North Yorkshire Integrated Care Board" dataDxfId="46" totalsRowDxfId="45"/>
    <tableColumn id="23" xr3:uid="{C6FF154E-AD4F-4B5A-A767-CDEC53BE7811}" name="NHS Kent and Medway Integrated Care Board" dataDxfId="44"/>
    <tableColumn id="24" xr3:uid="{B63275E6-B557-4727-A9D7-841CF70AB450}" name="NHS Lancashire and South Cumbria Integrated Care Board" dataDxfId="43" totalsRowDxfId="42"/>
    <tableColumn id="25" xr3:uid="{50B83388-66C1-4A6D-98D0-9C573B334A8E}" name="NHS Leicester, Leicestershire and Rutland Integrated Care Board" dataDxfId="41"/>
    <tableColumn id="26" xr3:uid="{50730119-1E24-4829-A3D0-314F90F73EF8}" name="NHS Lincolnshire Integrated Care Board" dataDxfId="40" totalsRowDxfId="39"/>
    <tableColumn id="27" xr3:uid="{5A9558E7-23A7-47BA-BDC0-0F3304E8881E}" name="NHS Mid and South Essex Integrated Care Board" dataDxfId="38"/>
    <tableColumn id="28" xr3:uid="{7B8DA615-37B0-4650-8560-AF2A99393EE0}" name="NHS Norfolk and Waveney Integrated Care Board " dataDxfId="37" totalsRowDxfId="36"/>
    <tableColumn id="29" xr3:uid="{9DDED578-C74A-4CA3-A019-B2BAE60729CD}" name="NHS North Central London Integrated Care Board" dataDxfId="35" totalsRowDxfId="34"/>
    <tableColumn id="30" xr3:uid="{8B59B2F5-34AF-4A90-A0B0-43E8942E7293}" name="NHS North East and North Cumbria Integrated Care Board" dataDxfId="33" totalsRowDxfId="32"/>
    <tableColumn id="31" xr3:uid="{8F28B54F-9CA6-4158-9AF7-FBFECDD1D700}" name="NHS North East London Integrated Care Board" dataDxfId="31" totalsRowDxfId="30"/>
    <tableColumn id="32" xr3:uid="{CF849ED3-5562-4555-A466-99980712A158}" name="NHS North West London Integrated Care Board" dataDxfId="29" totalsRowDxfId="28"/>
    <tableColumn id="33" xr3:uid="{E4E84BFA-8C11-4685-809A-48ADBDF67BF4}" name="NHS Northamptonshire Integrated Care Board" dataDxfId="27" totalsRowDxfId="26"/>
    <tableColumn id="34" xr3:uid="{3C5ABEB7-D6D2-4F30-B753-400A6FB9E2B3}" name="NHS Nottingham and Nottinghamshire Integrated Care Board" dataDxfId="25"/>
    <tableColumn id="35" xr3:uid="{CE045B44-E15C-45D8-B6E6-9277135B66F2}" name="NHS Shropshire, Telford and Wrekin Integrated Care Board" dataDxfId="24" totalsRowDxfId="23"/>
    <tableColumn id="36" xr3:uid="{538619A7-5EF6-4D18-8FD9-D359387F15E0}" name="NHS Somerset Integrated Care Board" dataDxfId="22" totalsRowDxfId="21"/>
    <tableColumn id="37" xr3:uid="{53C04EA9-E6A6-443A-B304-FA50F8CE2DE1}" name="NHS South East London Integrated Care Board" dataDxfId="20" totalsRowDxfId="19"/>
    <tableColumn id="38" xr3:uid="{A6210C74-8C3F-4334-A821-D5A5E1B2597F}" name="NHS South Yorkshire Integrated Care Board" dataDxfId="18" totalsRowDxfId="17"/>
    <tableColumn id="39" xr3:uid="{4ABAD719-7BCB-4651-961B-01030560BD39}" name="NHS Staffordshire and Stoke-on-Trent Integrated Care Board" dataDxfId="16"/>
    <tableColumn id="40" xr3:uid="{4081D9F6-DA06-43C9-88BD-C70022635693}" name="NHS Suffolk and North East Essex Integrated Care Board" dataDxfId="15"/>
    <tableColumn id="41" xr3:uid="{138B8DE6-83AB-47D4-9A1B-B33E3E2A497D}" name="NHS Surrey Heartlands Integrated Care Board" dataDxfId="14" totalsRowDxfId="13"/>
    <tableColumn id="42" xr3:uid="{F7DCA81B-775A-41A0-B90F-D499C95EC587}" name="NHS Sussex Integrated Care Board" dataDxfId="12" totalsRowDxfId="11"/>
    <tableColumn id="43" xr3:uid="{C831B8A7-FEF4-47E0-9678-27EE19105914}" name="NHS West Yorkshire Integrated Care Board" dataDxfId="10" totalsRowDxfId="9"/>
    <tableColumn id="44" xr3:uid="{A73CCCE0-1188-40E5-841F-BF9476D90AEE}" name="EBI (criteria)" dataDxfId="8" totalsRowDxfId="7">
      <calculatedColumnFormula>COUNTIF(B2:AQ2, "ü")</calculatedColumnFormula>
    </tableColumn>
    <tableColumn id="45" xr3:uid="{7F2B9D9C-807C-40E8-BFD7-8206AA69DC6F}" name="EBI (do not fund)" dataDxfId="6" totalsRowDxfId="5">
      <calculatedColumnFormula>COUNTIF(B2:AQ2, "IFR")</calculatedColumnFormula>
    </tableColumn>
    <tableColumn id="46" xr3:uid="{BA3653B9-88D8-440D-AE45-45D02C6C5E34}" name="Not in EBI " dataDxfId="4" totalsRowDxfId="3">
      <calculatedColumnFormula>COUNTIF(B2:AQ2, "N/A")</calculatedColumnFormula>
    </tableColumn>
    <tableColumn id="47" xr3:uid="{B2D34DAD-F4D0-4719-B71B-5276CA556A22}" name="Signpost to national guidance" dataDxfId="2">
      <calculatedColumnFormula>COUNTIF(B2:AQ2, "National EBI Guidance")</calculatedColumnFormula>
    </tableColumn>
    <tableColumn id="48" xr3:uid="{6E8AA099-5AE1-48B1-9867-B6A8D314696C}" name="Under Review" dataDxfId="1">
      <calculatedColumnFormula>COUNTIF(B2:AQ2, "Policy under review")</calculatedColumnFormula>
    </tableColumn>
    <tableColumn id="49" xr3:uid="{358F0EE2-931F-43D3-ACAF-648124313C8D}" name="Total" totalsRowFunction="sum" dataDxfId="0">
      <calculatedColumnFormula>SUM(AR2:AU2)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2" dT="2025-06-18T10:48:37.86" personId="{95736710-EFA0-493C-AAE5-6E4C07E0F9AD}" id="{63FF3981-6183-432F-A053-5D9B58301D2D}">
    <text xml:space="preserve">Part of extracorporeal shockwave therapy </text>
  </threadedComment>
  <threadedComment ref="V2" dT="2025-06-22T21:52:26.40" personId="{95736710-EFA0-493C-AAE5-6E4C07E0F9AD}" id="{DF90B4AB-CC9D-4032-AB4F-73AC9317E1A5}">
    <text xml:space="preserve">Cannot find </text>
  </threadedComment>
  <threadedComment ref="AI2" dT="2025-06-26T20:00:17.90" personId="{95736710-EFA0-493C-AAE5-6E4C07E0F9AD}" id="{DC4D0831-7AA9-40CF-9821-F566769D1543}">
    <text>IFR - Extracorporeal shockwave therapy is not funded routinely for the treatment of: • Tennis Elbow • Plantar Fasciitis • Achilles Tendinopathy • Greater Trochanteric Pain Syndrome • Peyronie’s Disease https://www.shropshiretelfordandwrekin.nhs.uk/wp-content/uploads/20240314-VBC-Policy-v5-Final.pdf</text>
    <extLst>
      <x:ext xmlns:xltc2="http://schemas.microsoft.com/office/spreadsheetml/2020/threadedcomments2" uri="{F7C98A9C-CBB3-438F-8F68-D28B6AF4A901}">
        <xltc2:checksum>2202980861</xltc2:checksum>
        <xltc2:hyperlink startIndex="202" length="97" url="https://www.shropshiretelfordandwrekin.nhs.uk/wp-content/uploads/20240314-VBC-Policy-v5-Final.pdf"/>
      </x:ext>
    </extLst>
  </threadedComment>
  <threadedComment ref="AM2" dT="2025-06-26T21:53:12.68" personId="{95736710-EFA0-493C-AAE5-6E4C07E0F9AD}" id="{B79A583D-C52F-4B26-9B71-3563EEAC2B76}">
    <text>“Common Foot and Ankle Procedures ”</text>
  </threadedComment>
  <threadedComment ref="AM2" dT="2025-06-26T21:53:30.32" personId="{95736710-EFA0-493C-AAE5-6E4C07E0F9AD}" id="{4394472F-0BFE-4CFA-9B65-A43794A425AE}" parentId="{B79A583D-C52F-4B26-9B71-3563EEAC2B76}">
    <text>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2260732910</xltc2:checksum>
        <xltc2:hyperlink startIndex="0" length="189" url="https://staffsstoke.icb.nhs.uk/your-nhs-integrated-care-board/our-publications/governance-handbook/all-policies/commissioning/icb-excluded-and-restricted-procedures-policy-v3-1/?layout=file"/>
      </x:ext>
    </extLst>
  </threadedComment>
  <threadedComment ref="D3" dT="2025-06-06T21:19:17.22" personId="{95736710-EFA0-493C-AAE5-6E4C07E0F9AD}" id="{B052753F-88BC-4AAE-8DEC-2D40C7D3BF57}">
    <text>https://bedfordshirelutonandmiltonkeynes.icb.nhs.uk/~documents/policies/evidence-based-clinical-policies/grommets-and-adenoidectomy-in-children For children criteria based access for treatment of glue ear</text>
    <extLst>
      <x:ext xmlns:xltc2="http://schemas.microsoft.com/office/spreadsheetml/2020/threadedcomments2" uri="{F7C98A9C-CBB3-438F-8F68-D28B6AF4A901}">
        <xltc2:checksum>3965012233</xltc2:checksum>
        <xltc2:hyperlink startIndex="0" length="143" url="https://bedfordshirelutonandmiltonkeynes.icb.nhs.uk/~documents/policies/evidence-based-clinical-policies/grommets-and-adenoidectomy-in-children"/>
      </x:ext>
    </extLst>
  </threadedComment>
  <threadedComment ref="L3" dT="2025-06-18T11:23:23.72" personId="{95736710-EFA0-493C-AAE5-6E4C07E0F9AD}" id="{C936EDB6-DDB6-41D9-9EEB-5FC57F6B02F1}">
    <text>Tick https://www.happyhealthylives.uk/clientfiles/files/document_library/CWICB%20Policy%20for%20Removal%20of%20adenoids%20for%20treatment%20of%20glue%20ear%20FV.pdf</text>
    <extLst>
      <x:ext xmlns:xltc2="http://schemas.microsoft.com/office/spreadsheetml/2020/threadedcomments2" uri="{F7C98A9C-CBB3-438F-8F68-D28B6AF4A901}">
        <xltc2:checksum>35863764</xltc2:checksum>
        <xltc2:hyperlink startIndex="5" length="159" url="https://www.happyhealthylives.uk/clientfiles/files/document_library/CWICB%20Policy%20for%20Removal%20of%20adenoids%20for%20treatment%20of%20glue%20ear%20FV.pdf"/>
      </x:ext>
    </extLst>
  </threadedComment>
  <threadedComment ref="N3" dT="2025-06-18T13:47:40.26" personId="{95736710-EFA0-493C-AAE5-6E4C07E0F9AD}" id="{1A8007DB-D2C6-4633-A715-DBE094EA28C3}">
    <text>Criteria based https://onedevon.org.uk/download/myringotomy-for-otitis-media-in-children/?wpdmdl=2021&amp;refresh=6852c3596537e1750254425</text>
    <extLst>
      <x:ext xmlns:xltc2="http://schemas.microsoft.com/office/spreadsheetml/2020/threadedcomments2" uri="{F7C98A9C-CBB3-438F-8F68-D28B6AF4A901}">
        <xltc2:checksum>3738744253</xltc2:checksum>
        <xltc2:hyperlink startIndex="15" length="118" url="https://onedevon.org.uk/download/myringotomy-for-otitis-media-in-children/?wpdmdl=2021&amp;refresh=6852c3596537e1750254425"/>
      </x:ext>
    </extLst>
  </threadedComment>
  <threadedComment ref="S3" dT="2025-06-18T21:36:38.38" personId="{95736710-EFA0-493C-AAE5-6E4C07E0F9AD}" id="{917818A2-CD95-438E-B48A-16846C13D3A7}">
    <text>IFR as well https://fundingrequests.scwcsu.nhs.uk/wp-content/uploads/2020/09/008-Adenoidectomy-revised-March-2020.pdf</text>
    <extLst>
      <x:ext xmlns:xltc2="http://schemas.microsoft.com/office/spreadsheetml/2020/threadedcomments2" uri="{F7C98A9C-CBB3-438F-8F68-D28B6AF4A901}">
        <xltc2:checksum>2141035698</xltc2:checksum>
        <xltc2:hyperlink startIndex="12" length="105" url="https://fundingrequests.scwcsu.nhs.uk/wp-content/uploads/2020/09/008-Adenoidectomy-revised-March-2020.pdf"/>
      </x:ext>
    </extLst>
  </threadedComment>
  <threadedComment ref="S3" dT="2025-06-18T21:36:45.04" personId="{95736710-EFA0-493C-AAE5-6E4C07E0F9AD}" id="{F527F777-256B-4160-B369-E69874E49A79}" parentId="{917818A2-CD95-438E-B48A-16846C13D3A7}">
    <text>https://fundingrequests.scwcsu.nhs.uk/hampshire-and-isle-of-wight-icb/policies-and-application-forms-hampshire-and-isle-of-wight/</text>
    <extLst>
      <x:ext xmlns:xltc2="http://schemas.microsoft.com/office/spreadsheetml/2020/threadedcomments2" uri="{F7C98A9C-CBB3-438F-8F68-D28B6AF4A901}">
        <xltc2:checksum>1841858363</xltc2:checksum>
        <xltc2:hyperlink startIndex="0" length="129" url="https://fundingrequests.scwcsu.nhs.uk/hampshire-and-isle-of-wight-icb/policies-and-application-forms-hampshire-and-isle-of-wight/"/>
      </x:ext>
    </extLst>
  </threadedComment>
  <threadedComment ref="V3" dT="2025-06-22T21:54:15.70" personId="{95736710-EFA0-493C-AAE5-6E4C07E0F9AD}" id="{0F9C1E62-902E-4D32-97DD-DBBA5EA2B73E}">
    <text>Policy under review https://humberandnorthyorkshire.icb.nhs.uk/documents-and-publications/commissioning-policies-2/</text>
    <extLst>
      <x:ext xmlns:xltc2="http://schemas.microsoft.com/office/spreadsheetml/2020/threadedcomments2" uri="{F7C98A9C-CBB3-438F-8F68-D28B6AF4A901}">
        <xltc2:checksum>4209297925</xltc2:checksum>
        <xltc2:hyperlink startIndex="20" length="95" url="https://humberandnorthyorkshire.icb.nhs.uk/documents-and-publications/commissioning-policies-2/"/>
      </x:ext>
    </extLst>
  </threadedComment>
  <threadedComment ref="AB3" dT="2025-06-27T11:12:29.50" personId="{95736710-EFA0-493C-AAE5-6E4C07E0F9AD}" id="{716D4E3D-F052-452F-A62F-CA7AA6E7FEB4}">
    <text>Tick https://nwknowledgenow.nhs.uk/content/grommets-for-adults-children/</text>
    <extLst>
      <x:ext xmlns:xltc2="http://schemas.microsoft.com/office/spreadsheetml/2020/threadedcomments2" uri="{F7C98A9C-CBB3-438F-8F68-D28B6AF4A901}">
        <xltc2:checksum>2670095413</xltc2:checksum>
        <xltc2:hyperlink startIndex="5" length="67" url="https://nwknowledgenow.nhs.uk/content/grommets-for-adults-children/"/>
      </x:ext>
    </extLst>
  </threadedComment>
  <threadedComment ref="T5" dT="2025-06-22T18:47:31.79" personId="{95736710-EFA0-493C-AAE5-6E4C07E0F9AD}" id="{A5DD5A92-6B5E-4926-86BB-8955E2D9A437}">
    <text>Unable to find ref</text>
  </threadedComment>
  <threadedComment ref="H6" dT="2025-06-17T16:52:34.17" personId="{95736710-EFA0-493C-AAE5-6E4C07E0F9AD}" id="{023A5079-3100-4692-A24C-D1195FF48F3E}">
    <text>Criteria based https://www.bucksoxonberksw.icb.nhs.uk/media/3371/pct-204b-surgical-removal-of-anal-skin-tags.pdf</text>
    <extLst>
      <x:ext xmlns:xltc2="http://schemas.microsoft.com/office/spreadsheetml/2020/threadedcomments2" uri="{F7C98A9C-CBB3-438F-8F68-D28B6AF4A901}">
        <xltc2:checksum>812500565</xltc2:checksum>
        <xltc2:hyperlink startIndex="15" length="97" url="https://www.bucksoxonberksw.icb.nhs.uk/media/3371/pct-204b-surgical-removal-of-anal-skin-tags.pdf"/>
      </x:ext>
    </extLst>
  </threadedComment>
  <threadedComment ref="K6" dT="2025-06-18T10:49:19.60" personId="{95736710-EFA0-493C-AAE5-6E4C07E0F9AD}" id="{53A5B20B-CCF8-48FA-8526-9792CB20152F}">
    <text>Note, the removal of anal skin tags is not routinely commissioned by NHS Cornwall and Isles of Scilly Integrated Care Board. https://docs.cios.icb.nhs.uk/DocumentsLibrary/NHSCornwallAndIslesOfScilly/Services/IndividualFundingRequests/CommissioningPolicies.pdf</text>
    <extLst>
      <x:ext xmlns:xltc2="http://schemas.microsoft.com/office/spreadsheetml/2020/threadedcomments2" uri="{F7C98A9C-CBB3-438F-8F68-D28B6AF4A901}">
        <xltc2:checksum>4225068888</xltc2:checksum>
        <xltc2:hyperlink startIndex="125" length="134" url="https://docs.cios.icb.nhs.uk/DocumentsLibrary/NHSCornwallAndIslesOfScilly/Services/IndividualFundingRequests/CommissioningPolicies.pdf"/>
      </x:ext>
    </extLst>
  </threadedComment>
  <threadedComment ref="R6" dT="2025-06-18T19:11:10.37" personId="{95736710-EFA0-493C-AAE5-6E4C07E0F9AD}" id="{527BBC17-C35A-4DD0-A335-AF08DCBDE03F}">
    <text>IFR https://nhsgmgmicbsa.blob.core.windows.net/nhsgmgmicbblobstorage/GMEUR/Commissioning%20Statements/GM%20Haemorrhoids%20Commissioning%20Statement.pdf</text>
    <extLst>
      <x:ext xmlns:xltc2="http://schemas.microsoft.com/office/spreadsheetml/2020/threadedcomments2" uri="{F7C98A9C-CBB3-438F-8F68-D28B6AF4A901}">
        <xltc2:checksum>3032950971</xltc2:checksum>
        <xltc2:hyperlink startIndex="4" length="147" url="https://nhsgmgmicbsa.blob.core.windows.net/nhsgmgmicbblobstorage/GMEUR/Commissioning%20Statements/GM%20Haemorrhoids%20Commissioning%20Statement.pdf"/>
      </x:ext>
    </extLst>
  </threadedComment>
  <threadedComment ref="T6" dT="2025-06-22T18:39:15.25" personId="{95736710-EFA0-493C-AAE5-6E4C07E0F9AD}" id="{842CF12A-3F1E-4AB8-AD3D-608A9949DCAF}">
    <text>Tick https://www.hwics.org.uk/application/files/9617/0186/0193/ICB_Aesthetic_Treatment__Surgery_v1.4_Final.pdf</text>
    <extLst>
      <x:ext xmlns:xltc2="http://schemas.microsoft.com/office/spreadsheetml/2020/threadedcomments2" uri="{F7C98A9C-CBB3-438F-8F68-D28B6AF4A901}">
        <xltc2:checksum>3775555547</xltc2:checksum>
        <xltc2:hyperlink startIndex="5" length="105" url="https://www.hwics.org.uk/application/files/9617/0186/0193/ICB_Aesthetic_Treatment__Surgery_v1.4_Final.pdf"/>
      </x:ext>
    </extLst>
  </threadedComment>
  <threadedComment ref="U6" dT="2025-06-22T19:39:32.40" personId="{95736710-EFA0-493C-AAE5-6E4C07E0F9AD}" id="{C2D6F138-E5D2-429B-98F7-0BB0EDC6CCB8}">
    <text>Tick https://www.hweclinicalguidance.nhs.uk/all-clinical-areas-documents/search-results/surgical-removal-of-benign-skin-lesions/</text>
    <extLst>
      <x:ext xmlns:xltc2="http://schemas.microsoft.com/office/spreadsheetml/2020/threadedcomments2" uri="{F7C98A9C-CBB3-438F-8F68-D28B6AF4A901}">
        <xltc2:checksum>1650967309</xltc2:checksum>
        <xltc2:hyperlink startIndex="5" length="123" url="https://www.hweclinicalguidance.nhs.uk/all-clinical-areas-documents/search-results/surgical-removal-of-benign-skin-lesions/"/>
      </x:ext>
    </extLst>
  </threadedComment>
  <threadedComment ref="V6" dT="2025-06-22T20:53:54.01" personId="{95736710-EFA0-493C-AAE5-6E4C07E0F9AD}" id="{EC89219D-939F-4100-8F05-C5007496F7A3}">
    <text>Covered by benign skin lesions - tick https://humberandnorthyorkshire.icb.nhs.uk/wp-content/uploads/2025/04/135-Benign-skin-lesion-%E2%80%93-Surgical-removal-including-Excision_-Cryotherapy.docx</text>
    <extLst>
      <x:ext xmlns:xltc2="http://schemas.microsoft.com/office/spreadsheetml/2020/threadedcomments2" uri="{F7C98A9C-CBB3-438F-8F68-D28B6AF4A901}">
        <xltc2:checksum>630536884</xltc2:checksum>
        <xltc2:hyperlink startIndex="38" length="156" url="https://humberandnorthyorkshire.icb.nhs.uk/wp-content/uploads/2025/04/135-Benign-skin-lesion-%E2%80%93-Surgical-removal-including-Excision_-Cryotherapy.docx"/>
      </x:ext>
    </extLst>
  </threadedComment>
  <threadedComment ref="W6" dT="2025-06-24T08:58:30.59" personId="{95736710-EFA0-493C-AAE5-6E4C07E0F9AD}" id="{AE1935F8-4C40-4DD5-8547-DBE2B8ED2875}">
    <text>Tick “Benign skin lesions (removal of) ” https://www.kentandmedway.icb.nhs.uk/application/files/9817/1292/6708/KM_RaTC_April_2024.pdf</text>
    <extLst>
      <x:ext xmlns:xltc2="http://schemas.microsoft.com/office/spreadsheetml/2020/threadedcomments2" uri="{F7C98A9C-CBB3-438F-8F68-D28B6AF4A901}">
        <xltc2:checksum>989149664</xltc2:checksum>
        <xltc2:hyperlink startIndex="41" length="92" url="https://www.kentandmedway.icb.nhs.uk/application/files/9817/1292/6708/KM_RaTC_April_2024.pdf"/>
      </x:ext>
    </extLst>
  </threadedComment>
  <threadedComment ref="X6" dT="2025-06-27T08:59:50.90" personId="{95736710-EFA0-493C-AAE5-6E4C07E0F9AD}" id="{B8A76D52-3BB0-4F9E-8633-D3EC1D09056C}">
    <text>Tick - https://www.healthierlsc.co.uk/application/files/3816/7576/5523/LSCICB_Clin15_Policy_for_Removal_of_Benign_Skin_Lesions_v1.1.pdf</text>
    <extLst>
      <x:ext xmlns:xltc2="http://schemas.microsoft.com/office/spreadsheetml/2020/threadedcomments2" uri="{F7C98A9C-CBB3-438F-8F68-D28B6AF4A901}">
        <xltc2:checksum>671951137</xltc2:checksum>
        <xltc2:hyperlink startIndex="7" length="128" url="https://www.healthierlsc.co.uk/application/files/3816/7576/5523/LSCICB_Clin15_Policy_for_Removal_of_Benign_Skin_Lesions_v1.1.pdf"/>
      </x:ext>
    </extLst>
  </threadedComment>
  <threadedComment ref="Z6" dT="2025-06-22T22:06:24.92" personId="{95736710-EFA0-493C-AAE5-6E4C07E0F9AD}" id="{DB757A31-808C-4139-958C-494CB3DE056C}">
    <text>Falls under benign skin lesions EBI https://lincolnshire.icb.nhs.uk/~documents/icb-publications/our-policies-and-procedures/clinical-governance/cg-003-prior-approval-policy/?layout=file</text>
    <extLst>
      <x:ext xmlns:xltc2="http://schemas.microsoft.com/office/spreadsheetml/2020/threadedcomments2" uri="{F7C98A9C-CBB3-438F-8F68-D28B6AF4A901}">
        <xltc2:checksum>2745272366</xltc2:checksum>
        <xltc2:hyperlink startIndex="36" length="149" url="https://lincolnshire.icb.nhs.uk/~documents/icb-publications/our-policies-and-procedures/clinical-governance/cg-003-prior-approval-policy/?layout=file"/>
      </x:ext>
    </extLst>
  </threadedComment>
  <threadedComment ref="AA6" dT="2025-06-27T10:04:26.22" personId="{95736710-EFA0-493C-AAE5-6E4C07E0F9AD}" id="{C75F8CAB-18FA-4E5C-B85B-A07A466C16B0}">
    <text>Tick - covered in this policy https://www.midandsouthessex.ics.nhs.uk/publications/018-benign-skin-conditions/</text>
    <extLst>
      <x:ext xmlns:xltc2="http://schemas.microsoft.com/office/spreadsheetml/2020/threadedcomments2" uri="{F7C98A9C-CBB3-438F-8F68-D28B6AF4A901}">
        <xltc2:checksum>2926957689</xltc2:checksum>
        <xltc2:hyperlink startIndex="30" length="80" url="https://www.midandsouthessex.ics.nhs.uk/publications/018-benign-skin-conditions/"/>
      </x:ext>
    </extLst>
  </threadedComment>
  <threadedComment ref="AB6" dT="2025-06-27T11:13:45.47" personId="{95736710-EFA0-493C-AAE5-6E4C07E0F9AD}" id="{AD6F6864-95B1-4713-BFA5-B78E680CAB26}">
    <text>Tick - covered here https://nwknowledgenow.nhs.uk/content/benign-skin-lesions-and-mild-inflammatory-skin-disorders-in-adults/</text>
    <extLst>
      <x:ext xmlns:xltc2="http://schemas.microsoft.com/office/spreadsheetml/2020/threadedcomments2" uri="{F7C98A9C-CBB3-438F-8F68-D28B6AF4A901}">
        <xltc2:checksum>599504594</xltc2:checksum>
        <xltc2:hyperlink startIndex="20" length="105" url="https://nwknowledgenow.nhs.uk/content/benign-skin-lesions-and-mild-inflammatory-skin-disorders-in-adults/"/>
      </x:ext>
    </extLst>
  </threadedComment>
  <threadedComment ref="AC6" dT="2025-06-24T10:47:12.34" personId="{95736710-EFA0-493C-AAE5-6E4C07E0F9AD}" id="{87755C01-3F3F-4CA0-B100-44BA6E545648}">
    <text>Under benign skin lesions https://nclhealthandcare.org.uk/wp-content/uploads/2024/02/NCL-EBICS-Policy-v9.2-2.pdf - tick</text>
    <extLst>
      <x:ext xmlns:xltc2="http://schemas.microsoft.com/office/spreadsheetml/2020/threadedcomments2" uri="{F7C98A9C-CBB3-438F-8F68-D28B6AF4A901}">
        <xltc2:checksum>1178788343</xltc2:checksum>
        <xltc2:hyperlink startIndex="26" length="86" url="https://nclhealthandcare.org.uk/wp-content/uploads/2024/02/NCL-EBICS-Policy-v9.2-2.pdf"/>
      </x:ext>
    </extLst>
  </threadedComment>
  <threadedComment ref="AD6" dT="2025-06-27T19:12:34.89" personId="{95736710-EFA0-493C-AAE5-6E4C07E0F9AD}" id="{00260361-0A95-4E80-A6FC-8D05387D8D75}">
    <text>Tick - removal of benign skin lesions https://northeastnorthcumbria.nhs.uk/media/dimlerzs/value-based-clinical-commissioning-policy.pdf</text>
    <extLst>
      <x:ext xmlns:xltc2="http://schemas.microsoft.com/office/spreadsheetml/2020/threadedcomments2" uri="{F7C98A9C-CBB3-438F-8F68-D28B6AF4A901}">
        <xltc2:checksum>2550866381</xltc2:checksum>
        <xltc2:hyperlink startIndex="38" length="97" url="https://northeastnorthcumbria.nhs.uk/media/dimlerzs/value-based-clinical-commissioning-policy.pdf"/>
      </x:ext>
    </extLst>
  </threadedComment>
  <threadedComment ref="AE6" dT="2025-06-26T14:35:58.72" personId="{95736710-EFA0-493C-AAE5-6E4C07E0F9AD}" id="{20B577D9-B30F-4597-8154-793D5193EA64}">
    <text xml:space="preserve">https://primarycare.northeastlondon.icb.nhs.uk/wp-content/uploads/2024/05/NEL-EBI-Policy-Version-2.2-Final.pdf Excision of skin and subcutaneous lesions  - tick </text>
    <extLst>
      <x:ext xmlns:xltc2="http://schemas.microsoft.com/office/spreadsheetml/2020/threadedcomments2" uri="{F7C98A9C-CBB3-438F-8F68-D28B6AF4A901}">
        <xltc2:checksum>3024681430</xltc2:checksum>
        <xltc2:hyperlink startIndex="0" length="110" url="https://primarycare.northeastlondon.icb.nhs.uk/wp-content/uploads/2024/05/NEL-EBI-Policy-Version-2.2-Final.pdf"/>
      </x:ext>
    </extLst>
  </threadedComment>
  <threadedComment ref="AF6" dT="2025-06-27T21:19:50.75" personId="{95736710-EFA0-493C-AAE5-6E4C07E0F9AD}" id="{93965433-6522-4EA0-BE39-729164BEC089}">
    <text>Tick https://www.nwlondonicb.nhs.uk/application/files/2916/7664/3303/Benign-Lesions-Lumps-v7.pdf</text>
    <extLst>
      <x:ext xmlns:xltc2="http://schemas.microsoft.com/office/spreadsheetml/2020/threadedcomments2" uri="{F7C98A9C-CBB3-438F-8F68-D28B6AF4A901}">
        <xltc2:checksum>499831968</xltc2:checksum>
        <xltc2:hyperlink startIndex="5" length="91" url="https://www.nwlondonicb.nhs.uk/application/files/2916/7664/3303/Benign-Lesions-Lumps-v7.pdf"/>
      </x:ext>
    </extLst>
  </threadedComment>
  <threadedComment ref="AG6" dT="2025-06-27T21:58:13.26" personId="{95736710-EFA0-493C-AAE5-6E4C07E0F9AD}" id="{0A544111-E5BA-4519-BDF1-0FA4FA3813E0}">
    <text>IFR https://www.icnorthamptonshire.org.uk/download.cfm?doc=docm93jijm4n19754&amp;ver=65811</text>
    <extLst>
      <x:ext xmlns:xltc2="http://schemas.microsoft.com/office/spreadsheetml/2020/threadedcomments2" uri="{F7C98A9C-CBB3-438F-8F68-D28B6AF4A901}">
        <xltc2:checksum>4072765239</xltc2:checksum>
        <xltc2:hyperlink startIndex="4" length="82" url="https://www.icnorthamptonshire.org.uk/download.cfm?doc=docm93jijm4n19754&amp;ver=65811"/>
      </x:ext>
    </extLst>
  </threadedComment>
  <threadedComment ref="AH6" dT="2025-06-26T19:13:07.87" personId="{95736710-EFA0-493C-AAE5-6E4C07E0F9AD}" id="{F0459A33-9CA0-4012-83C2-6D012E80772D}">
    <text>Tick https://notts.icb.nhs.uk/wp-content/uploads/sites/2/2022/04/Value-Based-Commissioning-PolicyV1.4-2.pdf benign lesions</text>
    <extLst>
      <x:ext xmlns:xltc2="http://schemas.microsoft.com/office/spreadsheetml/2020/threadedcomments2" uri="{F7C98A9C-CBB3-438F-8F68-D28B6AF4A901}">
        <xltc2:checksum>360609273</xltc2:checksum>
        <xltc2:hyperlink startIndex="5" length="102" url="https://notts.icb.nhs.uk/wp-content/uploads/sites/2/2022/04/Value-Based-Commissioning-PolicyV1.4-2.pdf"/>
      </x:ext>
    </extLst>
  </threadedComment>
  <threadedComment ref="AK6" dT="2025-06-26T20:40:19.72" personId="{95736710-EFA0-493C-AAE5-6E4C07E0F9AD}" id="{6ACA9D3C-B629-4BBE-BC0D-1111FB4DA0CD}">
    <text>Tick “The benign skin lesions, which are listed above, must meet at least ONE of the following criteria to be removed: ” https://www.selondonics.org/wp-content/uploads/dlm_uploads/SEL-Treatment-Access-Policy-July-2024-v1.pdf</text>
    <extLst>
      <x:ext xmlns:xltc2="http://schemas.microsoft.com/office/spreadsheetml/2020/threadedcomments2" uri="{F7C98A9C-CBB3-438F-8F68-D28B6AF4A901}">
        <xltc2:checksum>2396341299</xltc2:checksum>
        <xltc2:hyperlink startIndex="121" length="103" url="https://www.selondonics.org/wp-content/uploads/dlm_uploads/SEL-Treatment-Access-Policy-July-2024-v1.pdf"/>
      </x:ext>
    </extLst>
  </threadedComment>
  <threadedComment ref="AM6" dT="2025-06-26T21:54:15.28" personId="{95736710-EFA0-493C-AAE5-6E4C07E0F9AD}" id="{2554C0C4-E82A-44BB-AB49-AD4F6928CECB}">
    <text>Treatment of Minor Skin Lesions including benign pigmented moles, comedones, corns/callous. lipoma, milia, molluscum contagiosum, seborrhoeic keratosis, skin tags including anal tags, spider naevus, warts, xanthelasma and neurofibromata, epidermoid/Pilar (sebaceous) cysts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1005859346</xltc2:checksum>
        <xltc2:hyperlink startIndex="274" length="189" url="https://staffsstoke.icb.nhs.uk/your-nhs-integrated-care-board/our-publications/governance-handbook/all-policies/commissioning/icb-excluded-and-restricted-procedures-policy-v3-1/?layout=file"/>
      </x:ext>
    </extLst>
  </threadedComment>
  <threadedComment ref="AQ6" dT="2025-06-28T12:19:36.80" personId="{95736710-EFA0-493C-AAE5-6E4C07E0F9AD}" id="{83DF8F3F-ADBE-4FC1-8A06-91D1F3229D5C}">
    <text xml:space="preserve">Tick - Part of benign skin lesions https://ebi.aomrc.org.uk/interventions/removal-of-benign-skin-lesions/ “Skin lesions (benign) removal (11.2024) - This is an updated Evidence Based Interventions policy. For details please see the Evidence Based Interventions guidance on Removal of benign skin lesions  ” </text>
    <extLst>
      <x:ext xmlns:xltc2="http://schemas.microsoft.com/office/spreadsheetml/2020/threadedcomments2" uri="{F7C98A9C-CBB3-438F-8F68-D28B6AF4A901}">
        <xltc2:checksum>3014928881</xltc2:checksum>
        <xltc2:hyperlink startIndex="35" length="70" url="https://ebi.aomrc.org.uk/interventions/removal-of-benign-skin-lesions/"/>
        <xltc2:hyperlink startIndex="232" length="72" url="https://ebi.aomrc.org.uk/interventions/removal-of-benign-skin-lesions/"/>
      </x:ext>
    </extLst>
  </threadedComment>
  <threadedComment ref="K7" dT="2025-06-18T10:49:19.60" personId="{95736710-EFA0-493C-AAE5-6E4C07E0F9AD}" id="{53A5B20B-CCF8-48FB-8526-9792CB20152F}">
    <text>Note, the removal of anal skin tags is not routinely commissioned by NHS Cornwall and Isles of Scilly Integrated Care Board. https://docs.cios.icb.nhs.uk/DocumentsLibrary/NHSCornwallAndIslesOfScilly/Services/IndividualFundingRequests/CommissioningPolicies.pdf</text>
    <extLst>
      <x:ext xmlns:xltc2="http://schemas.microsoft.com/office/spreadsheetml/2020/threadedcomments2" uri="{F7C98A9C-CBB3-438F-8F68-D28B6AF4A901}">
        <xltc2:checksum>4225068888</xltc2:checksum>
        <xltc2:hyperlink startIndex="125" length="134" url="https://docs.cios.icb.nhs.uk/DocumentsLibrary/NHSCornwallAndIslesOfScilly/Services/IndividualFundingRequests/CommissioningPolicies.pdf"/>
      </x:ext>
    </extLst>
  </threadedComment>
  <threadedComment ref="AM7" dT="2025-06-26T21:55:20.03" personId="{95736710-EFA0-493C-AAE5-6E4C07E0F9AD}" id="{4677B710-2040-4C00-8A15-7B4E1A176F47}">
    <text>Tick -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2776244006</xltc2:checksum>
        <xltc2:hyperlink startIndex="7" length="189" url="https://staffsstoke.icb.nhs.uk/your-nhs-integrated-care-board/our-publications/governance-handbook/all-policies/commissioning/icb-excluded-and-restricted-procedures-policy-v3-1/?layout=file"/>
      </x:ext>
    </extLst>
  </threadedComment>
  <threadedComment ref="T8" dT="2025-06-22T18:04:53.32" personId="{95736710-EFA0-493C-AAE5-6E4C07E0F9AD}" id="{AB45DB3A-A78B-48A7-BFD9-3B0C4F27ADF2}">
    <text>Unable to find ref to residential? https://www.hwics.org.uk/application/files/8417/0021/5008/HW_ICS_AS.AxSp_Pathway_07112023_v2.pdf</text>
    <extLst>
      <x:ext xmlns:xltc2="http://schemas.microsoft.com/office/spreadsheetml/2020/threadedcomments2" uri="{F7C98A9C-CBB3-438F-8F68-D28B6AF4A901}">
        <xltc2:checksum>2537341471</xltc2:checksum>
        <xltc2:hyperlink startIndex="35" length="96" url="https://www.hwics.org.uk/application/files/8417/0021/5008/HW_ICS_AS.AxSp_Pathway_07112023_v2.pdf"/>
      </x:ext>
    </extLst>
  </threadedComment>
  <threadedComment ref="F9" dT="2025-06-12T08:36:03.35" personId="{95736710-EFA0-493C-AAE5-6E4C07E0F9AD}" id="{A0463316-B4E6-4E67-9150-5595A7716EC1}">
    <text>EBI based policy: Appendicectomy without confirmation of appendicitis
Surgery to remove the appendix.
https://blackcountry.icb.nhs.uk/have-your-say/get-involved/current-consultations-and-engagement/clinical-policy-review2</text>
    <extLst>
      <x:ext xmlns:xltc2="http://schemas.microsoft.com/office/spreadsheetml/2020/threadedcomments2" uri="{F7C98A9C-CBB3-438F-8F68-D28B6AF4A901}">
        <xltc2:checksum>357819730</xltc2:checksum>
        <xltc2:hyperlink startIndex="102" length="119" url="https://blackcountry.icb.nhs.uk/have-your-say/get-involved/current-consultations-and-engagement/clinical-policy-review2"/>
      </x:ext>
    </extLst>
  </threadedComment>
  <threadedComment ref="K9" dT="2025-06-18T10:49:19.60" personId="{95736710-EFA0-493C-AAE5-6E4C07E0F9AD}" id="{53A5B20B-CCF8-48FC-8526-9792CB20152F}">
    <text>Note, the removal of anal skin tags is not routinely commissioned by NHS Cornwall and Isles of Scilly Integrated Care Board. https://docs.cios.icb.nhs.uk/DocumentsLibrary/NHSCornwallAndIslesOfScilly/Services/IndividualFundingRequests/CommissioningPolicies.pdf</text>
    <extLst>
      <x:ext xmlns:xltc2="http://schemas.microsoft.com/office/spreadsheetml/2020/threadedcomments2" uri="{F7C98A9C-CBB3-438F-8F68-D28B6AF4A901}">
        <xltc2:checksum>4225068888</xltc2:checksum>
        <xltc2:hyperlink startIndex="125" length="134" url="https://docs.cios.icb.nhs.uk/DocumentsLibrary/NHSCornwallAndIslesOfScilly/Services/IndividualFundingRequests/CommissioningPolicies.pdf"/>
      </x:ext>
    </extLst>
  </threadedComment>
  <threadedComment ref="T9" dT="2025-06-22T18:02:31.36" personId="{95736710-EFA0-493C-AAE5-6E4C07E0F9AD}" id="{E8EFF839-C4B8-4AC9-B0AF-E668573D3970}">
    <text>Tick https://www.hwics.org.uk/application/files/4117/2250/0226/ICB_Clinical_Commissioning_Position_Statement_-_Appendicectomy_v1.0_FINAL.pdf</text>
    <extLst>
      <x:ext xmlns:xltc2="http://schemas.microsoft.com/office/spreadsheetml/2020/threadedcomments2" uri="{F7C98A9C-CBB3-438F-8F68-D28B6AF4A901}">
        <xltc2:checksum>2515647735</xltc2:checksum>
        <xltc2:hyperlink startIndex="5" length="135" url="https://www.hwics.org.uk/application/files/4117/2250/0226/ICB_Clinical_Commissioning_Position_Statement_-_Appendicectomy_v1.0_FINAL.pdf"/>
      </x:ext>
    </extLst>
  </threadedComment>
  <threadedComment ref="K10" dT="2025-06-18T10:49:19.60" personId="{95736710-EFA0-493C-AAE5-6E4C07E0F9AD}" id="{53A5B20B-CCF8-48FD-8526-9792CB20152F}">
    <text>Note, the removal of anal skin tags is not routinely commissioned by NHS Cornwall and Isles of Scilly Integrated Care Board. https://docs.cios.icb.nhs.uk/DocumentsLibrary/NHSCornwallAndIslesOfScilly/Services/IndividualFundingRequests/CommissioningPolicies.pdf</text>
    <extLst>
      <x:ext xmlns:xltc2="http://schemas.microsoft.com/office/spreadsheetml/2020/threadedcomments2" uri="{F7C98A9C-CBB3-438F-8F68-D28B6AF4A901}">
        <xltc2:checksum>4225068888</xltc2:checksum>
        <xltc2:hyperlink startIndex="125" length="134" url="https://docs.cios.icb.nhs.uk/DocumentsLibrary/NHSCornwallAndIslesOfScilly/Services/IndividualFundingRequests/CommissioningPolicies.pdf"/>
      </x:ext>
    </extLst>
  </threadedComment>
  <threadedComment ref="T10" dT="2025-06-22T18:17:58.11" personId="{95736710-EFA0-493C-AAE5-6E4C07E0F9AD}" id="{77858E27-6D12-4833-90BD-8AEBD07368BD}">
    <text>IFR https://www.hwics.org.uk/application/files/8917/1949/3723/ICB_Benign_Prostatic_Hyperplasia_v1.3.pdf</text>
    <extLst>
      <x:ext xmlns:xltc2="http://schemas.microsoft.com/office/spreadsheetml/2020/threadedcomments2" uri="{F7C98A9C-CBB3-438F-8F68-D28B6AF4A901}">
        <xltc2:checksum>2743745575</xltc2:checksum>
        <xltc2:hyperlink startIndex="4" length="99" url="https://www.hwics.org.uk/application/files/8917/1949/3723/ICB_Benign_Prostatic_Hyperplasia_v1.3.pdf"/>
      </x:ext>
    </extLst>
  </threadedComment>
  <threadedComment ref="Q11" dT="2025-06-18T18:59:53.29" personId="{95736710-EFA0-493C-AAE5-6E4C07E0F9AD}" id="{E861EBD4-8EAC-488B-AD70-2F1969E3A609}">
    <text>Unable to find</text>
  </threadedComment>
  <threadedComment ref="I13" dT="2025-06-17T21:39:06.68" personId="{95736710-EFA0-493C-AAE5-6E4C07E0F9AD}" id="{C7830C5C-BA18-4672-B323-6DEF8550171B}">
    <text>Plasma in foot policy https://www.cpics.org.uk/clinical-policies/</text>
    <extLst>
      <x:ext xmlns:xltc2="http://schemas.microsoft.com/office/spreadsheetml/2020/threadedcomments2" uri="{F7C98A9C-CBB3-438F-8F68-D28B6AF4A901}">
        <xltc2:checksum>238712136</xltc2:checksum>
        <xltc2:hyperlink startIndex="22" length="43" url="https://www.cpics.org.uk/clinical-policies/"/>
      </x:ext>
    </extLst>
  </threadedComment>
  <threadedComment ref="T13" dT="2025-06-22T18:51:36.49" personId="{95736710-EFA0-493C-AAE5-6E4C07E0F9AD}" id="{37E1ED9F-DB28-4638-97CD-A80A33794ED4}">
    <text>IFR “Prolotherapy (“proliferation therapy” or “regenerative injection therapy”) and Platelet Rich Plasma Injections The Commissioner DOES NOT ROUTINELY SUPPORT the NHS funding of these interventions across all indications, an IFR application based on exceptional clinical circumstances may be considered. ”https://www.hwics.org.uk/application/files/2117/0904/4510/ICB_MSK_Surgery_and_Therapy_V1.5_Final_6.pdf</text>
    <extLst>
      <x:ext xmlns:xltc2="http://schemas.microsoft.com/office/spreadsheetml/2020/threadedcomments2" uri="{F7C98A9C-CBB3-438F-8F68-D28B6AF4A901}">
        <xltc2:checksum>340687755</xltc2:checksum>
        <xltc2:hyperlink startIndex="306" length="102" url="https://www.hwics.org.uk/application/files/2117/0904/4510/ICB_MSK_Surgery_and_Therapy_V1.5_Final_6.pdf"/>
      </x:ext>
    </extLst>
  </threadedComment>
  <threadedComment ref="P14" dT="2025-06-18T15:46:18.24" personId="{95736710-EFA0-493C-AAE5-6E4C07E0F9AD}" id="{1F9A7A00-41DC-4A9B-90CE-ECA876209840}">
    <text xml:space="preserve">Unable to find
</text>
  </threadedComment>
  <threadedComment ref="F15" dT="2025-06-11T20:24:48.43" personId="{95736710-EFA0-493C-AAE5-6E4C07E0F9AD}" id="{1F0E4B1A-441E-4AB4-9AF8-10344B8FDD2E}">
    <text>EBI programme https://blackcountry.icb.nhs.uk/have-your-say/get-involved/current-consultations-and-engagement/clinical-policy-review2</text>
    <extLst>
      <x:ext xmlns:xltc2="http://schemas.microsoft.com/office/spreadsheetml/2020/threadedcomments2" uri="{F7C98A9C-CBB3-438F-8F68-D28B6AF4A901}">
        <xltc2:checksum>2966854249</xltc2:checksum>
        <xltc2:hyperlink startIndex="14" length="119" url="https://blackcountry.icb.nhs.uk/have-your-say/get-involved/current-consultations-and-engagement/clinical-policy-review2"/>
      </x:ext>
    </extLst>
  </threadedComment>
  <threadedComment ref="K15" dT="2025-06-18T10:49:19.60" personId="{95736710-EFA0-493C-AAE5-6E4C07E0F9AD}" id="{53A5B20B-CCF8-48FE-8526-9792CB20152F}">
    <text>Note, the removal of anal skin tags is not routinely commissioned by NHS Cornwall and Isles of Scilly Integrated Care Board. https://docs.cios.icb.nhs.uk/DocumentsLibrary/NHSCornwallAndIslesOfScilly/Services/IndividualFundingRequests/CommissioningPolicies.pdf</text>
    <extLst>
      <x:ext xmlns:xltc2="http://schemas.microsoft.com/office/spreadsheetml/2020/threadedcomments2" uri="{F7C98A9C-CBB3-438F-8F68-D28B6AF4A901}">
        <xltc2:checksum>4225068888</xltc2:checksum>
        <xltc2:hyperlink startIndex="125" length="134" url="https://docs.cios.icb.nhs.uk/DocumentsLibrary/NHSCornwallAndIslesOfScilly/Services/IndividualFundingRequests/CommissioningPolicies.pdf"/>
      </x:ext>
    </extLst>
  </threadedComment>
  <threadedComment ref="T16" dT="2025-06-22T18:48:38.08" personId="{95736710-EFA0-493C-AAE5-6E4C07E0F9AD}" id="{DCE3107F-D018-48EA-8B8A-B61D733180FB}">
    <text>Unable to find ref</text>
  </threadedComment>
  <threadedComment ref="C17" dT="2025-06-04T12:16:54.66" personId="{95736710-EFA0-493C-AAE5-6E4C07E0F9AD}" id="{927AFAF1-1FAB-40C5-B59D-552959F7F85A}">
    <text>ABDOMINOPLASTY / APRONECTOMY separate file, however also IFR</text>
  </threadedComment>
  <threadedComment ref="E17" dT="2025-06-11T15:30:51.57" personId="{95736710-EFA0-493C-AAE5-6E4C07E0F9AD}" id="{E0BAAB60-93DA-4DF1-958E-A99CE5ABB0A6}">
    <text>IFR - not routinely commissioned https://www.birminghamsolihull.icb.nhs.uk/application/files/5016/5952/2676/Policy_for_cosmetic_surgery_other_cosmetic_procedures.pdf - abdominoplast and below thigh lift etc https://www.birminghamsolihull.icb.nhs.uk/application/files/8816/5952/2288/Policy_for_cosmetic_surgery_thigh_buttock_arm_lifts.pdf</text>
    <extLst>
      <x:ext xmlns:xltc2="http://schemas.microsoft.com/office/spreadsheetml/2020/threadedcomments2" uri="{F7C98A9C-CBB3-438F-8F68-D28B6AF4A901}">
        <xltc2:checksum>1095035101</xltc2:checksum>
        <xltc2:hyperlink startIndex="33" length="132" url="https://www.birminghamsolihull.icb.nhs.uk/application/files/5016/5952/2676/Policy_for_cosmetic_surgery_other_cosmetic_procedures.pdf"/>
        <xltc2:hyperlink startIndex="207" length="130" url="https://www.birminghamsolihull.icb.nhs.uk/application/files/8816/5952/2288/Policy_for_cosmetic_surgery_thigh_buttock_arm_lifts.pdf"/>
      </x:ext>
    </extLst>
  </threadedComment>
  <threadedComment ref="V17" dT="2025-06-22T21:56:37.24" personId="{95736710-EFA0-493C-AAE5-6E4C07E0F9AD}" id="{76C09B9D-C594-4531-9FEF-E68BF336473B}">
    <text xml:space="preserve">Unable to find </text>
  </threadedComment>
  <threadedComment ref="X17" dT="2025-06-27T09:13:29.82" personId="{95736710-EFA0-493C-AAE5-6E4C07E0F9AD}" id="{D3B89DDE-1F05-4F8F-9927-8CD78C80AA5E}">
    <text>Appronectomy funded but removal excess skin IFR https://www.healthierlsc.co.uk/application/files/4816/8487/3599/LSCICB_Clin43_Policy_for_Cosmetic_Procedures_v3.2.pdf</text>
    <extLst>
      <x:ext xmlns:xltc2="http://schemas.microsoft.com/office/spreadsheetml/2020/threadedcomments2" uri="{F7C98A9C-CBB3-438F-8F68-D28B6AF4A901}">
        <xltc2:checksum>1652143324</xltc2:checksum>
        <xltc2:hyperlink startIndex="48" length="117" url="https://www.healthierlsc.co.uk/application/files/4816/8487/3599/LSCICB_Clin43_Policy_for_Cosmetic_Procedures_v3.2.pdf"/>
      </x:ext>
    </extLst>
  </threadedComment>
  <threadedComment ref="Y17" dT="2025-06-27T09:29:08.18" personId="{95736710-EFA0-493C-AAE5-6E4C07E0F9AD}" id="{C8697DFD-0B1D-4F99-87DA-4E87C7F33623}">
    <text>IFR? “Excision of Skin for Cosmetic Indications ” https://leicesterleicestershireandrutland.icb.nhs.uk/policy-for-leicester-leicestershire-and-rutland-approved-referral-pathways/</text>
    <extLst>
      <x:ext xmlns:xltc2="http://schemas.microsoft.com/office/spreadsheetml/2020/threadedcomments2" uri="{F7C98A9C-CBB3-438F-8F68-D28B6AF4A901}">
        <xltc2:checksum>2736527882</xltc2:checksum>
        <xltc2:hyperlink startIndex="50" length="128" url="https://leicesterleicestershireandrutland.icb.nhs.uk/policy-for-leicester-leicestershire-and-rutland-approved-referral-pathways/"/>
      </x:ext>
    </extLst>
  </threadedComment>
  <threadedComment ref="Y17" dT="2025-06-27T09:31:33.13" personId="{95736710-EFA0-493C-AAE5-6E4C07E0F9AD}" id="{5714A634-E888-4082-996D-5AE592D46549}" parentId="{C8697DFD-0B1D-4F99-87DA-4E87C7F33623}">
    <text xml:space="preserve">However “abdominoplasty” has criteria </text>
  </threadedComment>
  <threadedComment ref="AA17" dT="2025-06-27T10:41:58.58" personId="{95736710-EFA0-493C-AAE5-6E4C07E0F9AD}" id="{F3281B17-2A72-480B-ABF9-786D83A9283B}">
    <text>IFR https://www.midandsouthessex.ics.nhs.uk/publications/srp-090-skin-contouring-body-contouring-tumescent-liposuction-liposuction-liposculpture/</text>
    <extLst>
      <x:ext xmlns:xltc2="http://schemas.microsoft.com/office/spreadsheetml/2020/threadedcomments2" uri="{F7C98A9C-CBB3-438F-8F68-D28B6AF4A901}">
        <xltc2:checksum>1140577710</xltc2:checksum>
        <xltc2:hyperlink startIndex="4" length="141" url="https://www.midandsouthessex.ics.nhs.uk/publications/srp-090-skin-contouring-body-contouring-tumescent-liposuction-liposuction-liposculpture/"/>
      </x:ext>
    </extLst>
  </threadedComment>
  <threadedComment ref="AE17" dT="2025-06-26T14:40:14.63" personId="{95736710-EFA0-493C-AAE5-6E4C07E0F9AD}" id="{CD851170-8BE9-409A-95F6-040E7D90B386}">
    <text xml:space="preserve">IFR https://primarycare.northeastlondon.icb.nhs.uk/wp-content/uploads/2024/05/NEL-EBI-Policy-Version-2.2-Final.pdf Category 1 Procedures: Individual funding request (IFR) Excess skin excision from buttocks, thighs and arms </text>
    <extLst>
      <x:ext xmlns:xltc2="http://schemas.microsoft.com/office/spreadsheetml/2020/threadedcomments2" uri="{F7C98A9C-CBB3-438F-8F68-D28B6AF4A901}">
        <xltc2:checksum>2011532909</xltc2:checksum>
        <xltc2:hyperlink startIndex="4" length="110" url="https://primarycare.northeastlondon.icb.nhs.uk/wp-content/uploads/2024/05/NEL-EBI-Policy-Version-2.2-Final.pdf"/>
      </x:ext>
    </extLst>
  </threadedComment>
  <threadedComment ref="AK17" dT="2025-06-26T20:49:55.56" personId="{95736710-EFA0-493C-AAE5-6E4C07E0F9AD}" id="{1E8AA6D7-DC39-46B0-98EA-8608F4AFCCE8}">
    <text xml:space="preserve">?criteria? https://www.selondonics.org/wp-content/uploads/dlm_uploads/SEL-Treatment-Access-Policy-July-2024-v1.pdf 1.6 Body contouring (Abdominoplasty or tummy tuck, thigh lift and buttock lift, excision of redundant skin or fat liposuction) These procedures are not available on cosmetic grounds. An exception may be made for post-traumatic surgery for contouring at diabetes injection sites or for lymphoedema. 
</text>
    <extLst>
      <x:ext xmlns:xltc2="http://schemas.microsoft.com/office/spreadsheetml/2020/threadedcomments2" uri="{F7C98A9C-CBB3-438F-8F68-D28B6AF4A901}">
        <xltc2:checksum>910598</xltc2:checksum>
        <xltc2:hyperlink startIndex="11" length="103" url="https://www.selondonics.org/wp-content/uploads/dlm_uploads/SEL-Treatment-Access-Policy-July-2024-v1.pdf"/>
      </x:ext>
    </extLst>
  </threadedComment>
  <threadedComment ref="C18" dT="2025-06-02T08:56:43.05" personId="{95736710-EFA0-493C-AAE5-6E4C07E0F9AD}" id="{90150F86-093A-41A4-9E9F-2274C0DEEC5D}">
    <text>No mention of cosmetic reasons. However in anal fissures policy “
 Botulinum Toxin treatment will not be available for the treatment of facial ageing or excessive wrinkles. 
” - so would that be N/A?</text>
  </threadedComment>
  <threadedComment ref="J18" dT="2025-06-18T09:54:14.79" personId="{95736710-EFA0-493C-AAE5-6E4C07E0F9AD}" id="{57FD4BDF-6A73-4754-BE08-791F5A36C42E}">
    <text>Should be IFR https://www.cheshireandmerseyside.nhs.uk/media/d3rlqai2/place-sef-cbct-july2024.pdf</text>
    <extLst>
      <x:ext xmlns:xltc2="http://schemas.microsoft.com/office/spreadsheetml/2020/threadedcomments2" uri="{F7C98A9C-CBB3-438F-8F68-D28B6AF4A901}">
        <xltc2:checksum>3127400943</xltc2:checksum>
        <xltc2:hyperlink startIndex="14" length="83" url="https://www.cheshireandmerseyside.nhs.uk/media/d3rlqai2/place-sef-cbct-july2024.pdf"/>
      </x:ext>
    </extLst>
  </threadedComment>
  <threadedComment ref="V18" dT="2025-06-22T21:56:46.85" personId="{95736710-EFA0-493C-AAE5-6E4C07E0F9AD}" id="{CD96FCE1-AB86-4646-97AC-B3AD7868FE70}">
    <text>Unable to find ref</text>
  </threadedComment>
  <threadedComment ref="W18" dT="2025-06-24T09:15:34.04" personId="{95736710-EFA0-493C-AAE5-6E4C07E0F9AD}" id="{AC054459-7559-4F37-8912-A174AF7CDB13}">
    <text>Unable to find</text>
  </threadedComment>
  <threadedComment ref="AD18" dT="2025-06-27T19:17:25.21" personId="{95736710-EFA0-493C-AAE5-6E4C07E0F9AD}" id="{1A6C699F-3DE3-4962-A300-D1B39285E783}">
    <text>Cannot find direct ref to cosmetic botulinum</text>
  </threadedComment>
  <threadedComment ref="C19" dT="2025-06-02T09:01:43.99" personId="{95736710-EFA0-493C-AAE5-6E4C07E0F9AD}" id="{EB222A1A-C950-43C7-A642-1862CEF0449F}">
    <text>“not routinely commissioned” rather than exceptional funding reqired</text>
  </threadedComment>
  <threadedComment ref="P19" dT="2025-06-18T15:47:48.93" personId="{95736710-EFA0-493C-AAE5-6E4C07E0F9AD}" id="{D553B37D-9D27-4116-8A4C-CB15C6786DA2}">
    <text>Unable to find within https://fundingrequests.scwcsu.nhs.uk/wp-content/uploads/2024/12/BOBFPC16-Aesthetic-treatments-for-adults-and-children-v2.0.pdf</text>
    <extLst>
      <x:ext xmlns:xltc2="http://schemas.microsoft.com/office/spreadsheetml/2020/threadedcomments2" uri="{F7C98A9C-CBB3-438F-8F68-D28B6AF4A901}">
        <xltc2:checksum>1469555521</xltc2:checksum>
        <xltc2:hyperlink startIndex="22" length="127" url="https://fundingrequests.scwcsu.nhs.uk/wp-content/uploads/2024/12/BOBFPC16-Aesthetic-treatments-for-adults-and-children-v2.0.pdf"/>
      </x:ext>
    </extLst>
  </threadedComment>
  <threadedComment ref="Z19" dT="2025-06-22T22:10:12.93" personId="{95736710-EFA0-493C-AAE5-6E4C07E0F9AD}" id="{5ACDB752-32C7-4E97-AEF3-F73BFD377FBE}">
    <text xml:space="preserve">IFR https://lincolnshire.icb.nhs.uk/~documents/icb-publications/our-policies-and-procedures/clinical-governance/cg-003-prior-approval-policy/?layout=file
</text>
    <extLst>
      <x:ext xmlns:xltc2="http://schemas.microsoft.com/office/spreadsheetml/2020/threadedcomments2" uri="{F7C98A9C-CBB3-438F-8F68-D28B6AF4A901}">
        <xltc2:checksum>1625437312</xltc2:checksum>
        <xltc2:hyperlink startIndex="4" length="149" url="https://lincolnshire.icb.nhs.uk/~documents/icb-publications/our-policies-and-procedures/clinical-governance/cg-003-prior-approval-policy/?layout=file"/>
      </x:ext>
    </extLst>
  </threadedComment>
  <threadedComment ref="AI19" dT="2025-06-26T20:04:23.72" personId="{95736710-EFA0-493C-AAE5-6E4C07E0F9AD}" id="{CF1D09E2-F077-4F1E-82BE-3D8CABDC50C1}">
    <text>Tick https://www.shropshiretelfordandwrekin.nhs.uk/wp-content/uploads/STWCCG-Botulinum-Policy.pdf</text>
    <extLst>
      <x:ext xmlns:xltc2="http://schemas.microsoft.com/office/spreadsheetml/2020/threadedcomments2" uri="{F7C98A9C-CBB3-438F-8F68-D28B6AF4A901}">
        <xltc2:checksum>2021965275</xltc2:checksum>
        <xltc2:hyperlink startIndex="5" length="92" url="https://www.shropshiretelfordandwrekin.nhs.uk/wp-content/uploads/STWCCG-Botulinum-Policy.pdf"/>
      </x:ext>
    </extLst>
  </threadedComment>
  <threadedComment ref="AP19" dT="2025-06-26T23:22:18.16" personId="{95736710-EFA0-493C-AAE5-6E4C07E0F9AD}" id="{EB834F2F-E2AA-4D46-8374-4D2FFBE99CC2}">
    <text>Hyperhidrosis is IFR https://int.sussex.ics.nhs.uk/clinical_documents/sussex-cec-clinical-policy/</text>
    <extLst>
      <x:ext xmlns:xltc2="http://schemas.microsoft.com/office/spreadsheetml/2020/threadedcomments2" uri="{F7C98A9C-CBB3-438F-8F68-D28B6AF4A901}">
        <xltc2:checksum>120480736</xltc2:checksum>
        <xltc2:hyperlink startIndex="21" length="76" url="https://int.sussex.ics.nhs.uk/clinical_documents/sussex-cec-clinical-policy/"/>
      </x:ext>
    </extLst>
  </threadedComment>
  <threadedComment ref="J20" dT="2025-06-18T09:54:25.77" personId="{95736710-EFA0-493C-AAE5-6E4C07E0F9AD}" id="{431C98E7-87C3-4049-BE27-1733030883E0}">
    <text>Should be a tick https://www.cheshireandmerseyside.nhs.uk/media/d3rlqai2/place-sef-cbct-july2024.pdf</text>
    <extLst>
      <x:ext xmlns:xltc2="http://schemas.microsoft.com/office/spreadsheetml/2020/threadedcomments2" uri="{F7C98A9C-CBB3-438F-8F68-D28B6AF4A901}">
        <xltc2:checksum>1381225925</xltc2:checksum>
        <xltc2:hyperlink startIndex="17" length="83" url="https://www.cheshireandmerseyside.nhs.uk/media/d3rlqai2/place-sef-cbct-july2024.pdf"/>
      </x:ext>
    </extLst>
  </threadedComment>
  <threadedComment ref="T20" dT="2025-06-22T18:40:48.06" personId="{95736710-EFA0-493C-AAE5-6E4C07E0F9AD}" id="{351B3DE0-A114-4438-ACCA-A41A913D36F1}">
    <text>Tick https://www.hereworcsformulary.nhs.uk/chaptersSubDetails.asp?FormularySectionID=1&amp;SubSectionRef=01.07.04&amp;SubSectionID=A100&amp;drugmatch=4948#4948</text>
    <extLst>
      <x:ext xmlns:xltc2="http://schemas.microsoft.com/office/spreadsheetml/2020/threadedcomments2" uri="{F7C98A9C-CBB3-438F-8F68-D28B6AF4A901}">
        <xltc2:checksum>2400024935</xltc2:checksum>
        <xltc2:hyperlink startIndex="5" length="142" url="https://www.hereworcsformulary.nhs.uk/chaptersSubDetails.asp?FormularySectionID=1&amp;SubSectionRef=01.07.04&amp;SubSectionID=A100&amp;drugmatch=4948#4948"/>
      </x:ext>
    </extLst>
  </threadedComment>
  <threadedComment ref="U20" dT="2025-06-22T19:44:42.68" personId="{95736710-EFA0-493C-AAE5-6E4C07E0F9AD}" id="{E3BF6242-1B07-4F57-B5D0-DBB8D4E95293}">
    <text>Tick https://www.hweclinicalguidance.nhs.uk/all-clinical-areas-documents/download?cid=947&amp;checksum=c4b31ce7d95c75ca70d50c19aef08bf1</text>
    <extLst>
      <x:ext xmlns:xltc2="http://schemas.microsoft.com/office/spreadsheetml/2020/threadedcomments2" uri="{F7C98A9C-CBB3-438F-8F68-D28B6AF4A901}">
        <xltc2:checksum>3148542322</xltc2:checksum>
        <xltc2:hyperlink startIndex="5" length="126" url="https://www.hweclinicalguidance.nhs.uk/all-clinical-areas-documents/download?cid=947&amp;checksum=c4b31ce7d95c75ca70d50c19aef08bf1"/>
      </x:ext>
    </extLst>
  </threadedComment>
  <threadedComment ref="AI20" dT="2025-06-26T20:04:43.66" personId="{95736710-EFA0-493C-AAE5-6E4C07E0F9AD}" id="{92F24024-7970-4317-B72B-F047AE725144}">
    <text>Tick https://www.shropshiretelfordandwrekin.nhs.uk/wp-content/uploads/STWCCG-Botulinum-Policy.pdf</text>
    <extLst>
      <x:ext xmlns:xltc2="http://schemas.microsoft.com/office/spreadsheetml/2020/threadedcomments2" uri="{F7C98A9C-CBB3-438F-8F68-D28B6AF4A901}">
        <xltc2:checksum>2021965275</xltc2:checksum>
        <xltc2:hyperlink startIndex="5" length="92" url="https://www.shropshiretelfordandwrekin.nhs.uk/wp-content/uploads/STWCCG-Botulinum-Policy.pdf"/>
      </x:ext>
    </extLst>
  </threadedComment>
  <threadedComment ref="AP20" dT="2025-06-26T23:21:39.67" personId="{95736710-EFA0-493C-AAE5-6E4C07E0F9AD}" id="{8B9830CE-AA20-40EF-89F2-C61C863E200D}">
    <text>Cannot find ref https://int.sussex.ics.nhs.uk/clinical_documents/sussex-cec-clinical-policy/</text>
    <extLst>
      <x:ext xmlns:xltc2="http://schemas.microsoft.com/office/spreadsheetml/2020/threadedcomments2" uri="{F7C98A9C-CBB3-438F-8F68-D28B6AF4A901}">
        <xltc2:checksum>2216581423</xltc2:checksum>
        <xltc2:hyperlink startIndex="16" length="76" url="https://int.sussex.ics.nhs.uk/clinical_documents/sussex-cec-clinical-policy/"/>
      </x:ext>
    </extLst>
  </threadedComment>
  <threadedComment ref="J21" dT="2025-06-18T09:54:31.90" personId="{95736710-EFA0-493C-AAE5-6E4C07E0F9AD}" id="{0254F136-A52E-4E7A-B8BD-1E0A69A461FF}">
    <text xml:space="preserve">Should be a tick https://www.cheshireandmerseyside.nhs.uk/media/d3rlqai2/place-sef-cbct-july2024.pdf
</text>
    <extLst>
      <x:ext xmlns:xltc2="http://schemas.microsoft.com/office/spreadsheetml/2020/threadedcomments2" uri="{F7C98A9C-CBB3-438F-8F68-D28B6AF4A901}">
        <xltc2:checksum>3588319425</xltc2:checksum>
        <xltc2:hyperlink startIndex="17" length="83" url="https://www.cheshireandmerseyside.nhs.uk/media/d3rlqai2/place-sef-cbct-july2024.pdf"/>
      </x:ext>
    </extLst>
  </threadedComment>
  <threadedComment ref="T21" dT="2025-06-22T18:41:08.96" personId="{95736710-EFA0-493C-AAE5-6E4C07E0F9AD}" id="{9820304B-D4BD-41D9-B863-DDF3E8C5013E}">
    <text>Tick https://www.hereworcsformulary.nhs.uk/chaptersSubDetails.asp?FormularySectionID=7&amp;SubSectionRef=07.04.02&amp;SubSectionID=B100&amp;drugmatch=4950#4950</text>
    <extLst>
      <x:ext xmlns:xltc2="http://schemas.microsoft.com/office/spreadsheetml/2020/threadedcomments2" uri="{F7C98A9C-CBB3-438F-8F68-D28B6AF4A901}">
        <xltc2:checksum>911601097</xltc2:checksum>
        <xltc2:hyperlink startIndex="5" length="142" url="https://www.hereworcsformulary.nhs.uk/chaptersSubDetails.asp?FormularySectionID=7&amp;SubSectionRef=07.04.02&amp;SubSectionID=B100&amp;drugmatch=4950#4950"/>
      </x:ext>
    </extLst>
  </threadedComment>
  <threadedComment ref="U21" dT="2025-06-22T19:44:42.68" personId="{95736710-EFA0-493C-AAE5-6E4C07E0F9AD}" id="{58EFC9D1-4B76-48FA-9A0A-97917D3D6D9C}">
    <text>Tick https://www.hweclinicalguidance.nhs.uk/all-clinical-areas-documents/download?cid=947&amp;checksum=c4b31ce7d95c75ca70d50c19aef08bf1</text>
    <extLst>
      <x:ext xmlns:xltc2="http://schemas.microsoft.com/office/spreadsheetml/2020/threadedcomments2" uri="{F7C98A9C-CBB3-438F-8F68-D28B6AF4A901}">
        <xltc2:checksum>3148542322</xltc2:checksum>
        <xltc2:hyperlink startIndex="5" length="126" url="https://www.hweclinicalguidance.nhs.uk/all-clinical-areas-documents/download?cid=947&amp;checksum=c4b31ce7d95c75ca70d50c19aef08bf1"/>
      </x:ext>
    </extLst>
  </threadedComment>
  <threadedComment ref="AE21" dT="2025-06-26T14:44:44.36" personId="{95736710-EFA0-493C-AAE5-6E4C07E0F9AD}" id="{9993CE51-1040-4094-A4FB-02C96D0CD836}">
    <text xml:space="preserve">Botulinum A toxin is routinely funded and does not require prior approval for: 1. spasticity, hand and wrist disability associated with stroke, hemofacial spasm, spasmodic torticollis 2. severe hyperhidrosis, overactive bladder syndrome </text>
  </threadedComment>
  <threadedComment ref="AE21" dT="2025-06-26T14:44:52.15" personId="{95736710-EFA0-493C-AAE5-6E4C07E0F9AD}" id="{B569D5BA-D881-47E3-A531-966D845E851A}" parentId="{9993CE51-1040-4094-A4FB-02C96D0CD836}">
    <text>tick</text>
  </threadedComment>
  <threadedComment ref="AI21" dT="2025-06-26T20:04:43.66" personId="{95736710-EFA0-493C-AAE5-6E4C07E0F9AD}" id="{78890779-7930-4757-A061-9BBC3DD19F66}">
    <text>Tick https://www.shropshiretelfordandwrekin.nhs.uk/wp-content/uploads/STWCCG-Botulinum-Policy.pdf</text>
    <extLst>
      <x:ext xmlns:xltc2="http://schemas.microsoft.com/office/spreadsheetml/2020/threadedcomments2" uri="{F7C98A9C-CBB3-438F-8F68-D28B6AF4A901}">
        <xltc2:checksum>2021965275</xltc2:checksum>
        <xltc2:hyperlink startIndex="5" length="92" url="https://www.shropshiretelfordandwrekin.nhs.uk/wp-content/uploads/STWCCG-Botulinum-Policy.pdf"/>
      </x:ext>
    </extLst>
  </threadedComment>
  <threadedComment ref="AP21" dT="2025-06-26T23:21:39.67" personId="{95736710-EFA0-493C-AAE5-6E4C07E0F9AD}" id="{F60ECB0A-4CFD-4031-8FA5-D29552E4031D}">
    <text>Cannot find ref https://int.sussex.ics.nhs.uk/clinical_documents/sussex-cec-clinical-policy/</text>
    <extLst>
      <x:ext xmlns:xltc2="http://schemas.microsoft.com/office/spreadsheetml/2020/threadedcomments2" uri="{F7C98A9C-CBB3-438F-8F68-D28B6AF4A901}">
        <xltc2:checksum>2216581423</xltc2:checksum>
        <xltc2:hyperlink startIndex="16" length="76" url="https://int.sussex.ics.nhs.uk/clinical_documents/sussex-cec-clinical-policy/"/>
      </x:ext>
    </extLst>
  </threadedComment>
  <threadedComment ref="J22" dT="2025-06-18T09:54:36.01" personId="{95736710-EFA0-493C-AAE5-6E4C07E0F9AD}" id="{694DE290-F9AA-4ECC-92D4-BB033D306C6E}">
    <text xml:space="preserve">Should be a tick https://www.cheshireandmerseyside.nhs.uk/media/d3rlqai2/place-sef-cbct-july2024.pdf
</text>
    <extLst>
      <x:ext xmlns:xltc2="http://schemas.microsoft.com/office/spreadsheetml/2020/threadedcomments2" uri="{F7C98A9C-CBB3-438F-8F68-D28B6AF4A901}">
        <xltc2:checksum>3588319425</xltc2:checksum>
        <xltc2:hyperlink startIndex="17" length="83" url="https://www.cheshireandmerseyside.nhs.uk/media/d3rlqai2/place-sef-cbct-july2024.pdf"/>
      </x:ext>
    </extLst>
  </threadedComment>
  <threadedComment ref="T22" dT="2025-06-22T18:41:25.41" personId="{95736710-EFA0-493C-AAE5-6E4C07E0F9AD}" id="{DC2CE7EA-BB89-4B34-94AE-7DDDD4448335}">
    <text>Tick https://www.hereworcsformulary.nhs.uk/chaptersSubDetails.asp?FormularySectionID=4&amp;SubSectionRef=04.09.03&amp;SubSectionID=B100&amp;drugmatch=1627#1627</text>
    <extLst>
      <x:ext xmlns:xltc2="http://schemas.microsoft.com/office/spreadsheetml/2020/threadedcomments2" uri="{F7C98A9C-CBB3-438F-8F68-D28B6AF4A901}">
        <xltc2:checksum>475889835</xltc2:checksum>
        <xltc2:hyperlink startIndex="5" length="142" url="https://www.hereworcsformulary.nhs.uk/chaptersSubDetails.asp?FormularySectionID=4&amp;SubSectionRef=04.09.03&amp;SubSectionID=B100&amp;drugmatch=1627#1627"/>
      </x:ext>
    </extLst>
  </threadedComment>
  <threadedComment ref="U22" dT="2025-06-22T19:44:42.68" personId="{95736710-EFA0-493C-AAE5-6E4C07E0F9AD}" id="{15011604-A439-4B06-A00C-A80AAE25A6E5}">
    <text>Tick https://www.hweclinicalguidance.nhs.uk/all-clinical-areas-documents/download?cid=947&amp;checksum=c4b31ce7d95c75ca70d50c19aef08bf1</text>
    <extLst>
      <x:ext xmlns:xltc2="http://schemas.microsoft.com/office/spreadsheetml/2020/threadedcomments2" uri="{F7C98A9C-CBB3-438F-8F68-D28B6AF4A901}">
        <xltc2:checksum>3148542322</xltc2:checksum>
        <xltc2:hyperlink startIndex="5" length="126" url="https://www.hweclinicalguidance.nhs.uk/all-clinical-areas-documents/download?cid=947&amp;checksum=c4b31ce7d95c75ca70d50c19aef08bf1"/>
      </x:ext>
    </extLst>
  </threadedComment>
  <threadedComment ref="AE22" dT="2025-06-26T14:44:44.36" personId="{95736710-EFA0-493C-AAE5-6E4C07E0F9AD}" id="{9993CE51-1040-4095-A4FB-02C96D0CD836}">
    <text xml:space="preserve">Botulinum A toxin is routinely funded and does not require prior approval for: 1. spasticity, hand and wrist disability associated with stroke, hemofacial spasm, spasmodic torticollis 2. severe hyperhidrosis, overactive bladder syndrome </text>
  </threadedComment>
  <threadedComment ref="AE22" dT="2025-06-26T14:44:52.15" personId="{95736710-EFA0-493C-AAE5-6E4C07E0F9AD}" id="{B569D5BA-D881-47E4-A531-966D845E851A}" parentId="{9993CE51-1040-4095-A4FB-02C96D0CD836}">
    <text>tick</text>
  </threadedComment>
  <threadedComment ref="AI22" dT="2025-06-26T20:04:43.66" personId="{95736710-EFA0-493C-AAE5-6E4C07E0F9AD}" id="{779D5B5C-C0D4-45A4-BF95-A7ABDDD24C07}">
    <text>Tick https://www.shropshiretelfordandwrekin.nhs.uk/wp-content/uploads/STWCCG-Botulinum-Policy.pdf</text>
    <extLst>
      <x:ext xmlns:xltc2="http://schemas.microsoft.com/office/spreadsheetml/2020/threadedcomments2" uri="{F7C98A9C-CBB3-438F-8F68-D28B6AF4A901}">
        <xltc2:checksum>2021965275</xltc2:checksum>
        <xltc2:hyperlink startIndex="5" length="92" url="https://www.shropshiretelfordandwrekin.nhs.uk/wp-content/uploads/STWCCG-Botulinum-Policy.pdf"/>
      </x:ext>
    </extLst>
  </threadedComment>
  <threadedComment ref="Y23" dT="2025-06-27T09:43:19.29" personId="{95736710-EFA0-493C-AAE5-6E4C07E0F9AD}" id="{830F3859-F169-4B55-BDF3-075907A9B43B}">
    <text>Cannot find ref to augmentation https://leicesterleicestershireandrutland.icb.nhs.uk/your-health/healthcare-and-treatment-policies/</text>
    <extLst>
      <x:ext xmlns:xltc2="http://schemas.microsoft.com/office/spreadsheetml/2020/threadedcomments2" uri="{F7C98A9C-CBB3-438F-8F68-D28B6AF4A901}">
        <xltc2:checksum>447906943</xltc2:checksum>
        <xltc2:hyperlink startIndex="32" length="99" url="https://leicesterleicestershireandrutland.icb.nhs.uk/your-health/healthcare-and-treatment-policies/"/>
      </x:ext>
    </extLst>
  </threadedComment>
  <threadedComment ref="AO23" dT="2025-06-28T11:15:39.70" personId="{95736710-EFA0-493C-AAE5-6E4C07E0F9AD}" id="{430853C5-1789-4DB9-8CBB-2D2E0B5914D3}">
    <text>?tick This procedure is not routinely funded.
This recommendation does not apply to patients undergoing breast reconstruction as part of treatment for breast cancer. For patients in this situation, the national guidance covering breast cancer treatment pathways shall be applied.
https://www.surreyheartlands.org/tnrf1-cosmetic-and-plastic-surgery</text>
    <extLst>
      <x:ext xmlns:xltc2="http://schemas.microsoft.com/office/spreadsheetml/2020/threadedcomments2" uri="{F7C98A9C-CBB3-438F-8F68-D28B6AF4A901}">
        <xltc2:checksum>1617931254</xltc2:checksum>
        <xltc2:hyperlink startIndex="280" length="67" url="https://www.surreyheartlands.org/tnrf1-cosmetic-and-plastic-surgery"/>
      </x:ext>
    </extLst>
  </threadedComment>
  <threadedComment ref="C24" dT="2025-06-02T09:10:57.40" personId="{95736710-EFA0-493C-AAE5-6E4C07E0F9AD}" id="{EB2E43CE-6F21-44F1-9A2D-D93FFF40264C}">
    <text>CRITERIA BASED ACCESS: Where a breast implant has ruptured, it can be removed without prior approval as this is due to a clinical need, not a cosmetic procedure. EXCEPTIONAL FUNDING is required for removal of any contralateral, non-affected implant, or for the replacement of an implant; or where a symptomatic contracture has occurred. https://bsw.icb.nhs.uk/document/bsw-icb-cp007-breast-surgery-cosmetic-policy/ ?Either N/A or IFR</text>
    <extLst>
      <x:ext xmlns:xltc2="http://schemas.microsoft.com/office/spreadsheetml/2020/threadedcomments2" uri="{F7C98A9C-CBB3-438F-8F68-D28B6AF4A901}">
        <xltc2:checksum>994091984</xltc2:checksum>
        <xltc2:hyperlink startIndex="337" length="77" url="https://bsw.icb.nhs.uk/document/bsw-icb-cp007-breast-surgery-cosmetic-policy/"/>
      </x:ext>
    </extLst>
  </threadedComment>
  <threadedComment ref="D24" dT="2025-06-06T21:31:01.77" personId="{95736710-EFA0-493C-AAE5-6E4C07E0F9AD}" id="{A512ABA2-9D6E-407C-9A29-5978B7C10C75}">
    <text>Unable to find re revision of breast enlargement</text>
  </threadedComment>
  <threadedComment ref="N24" dT="2025-06-18T13:55:06.03" personId="{95736710-EFA0-493C-AAE5-6E4C07E0F9AD}" id="{B3DAAA8A-9E58-4FF8-A3B5-FFA302CD941C}">
    <text>?The revision of treatments originally carried out outside of the NHS is not routinely commissioned - Cosmetic treatments policy</text>
  </threadedComment>
  <threadedComment ref="Z24" dT="2025-06-22T22:11:41.59" personId="{95736710-EFA0-493C-AAE5-6E4C07E0F9AD}" id="{5D4B6CD4-7F27-4D56-B91D-B38993141C60}">
    <text>IFR https://lincolnshire.icb.nhs.uk/~documents/icb-publications/our-policies-and-procedures/clinical-governance/cg-003-prior-approval-policy/?layout=file</text>
    <extLst>
      <x:ext xmlns:xltc2="http://schemas.microsoft.com/office/spreadsheetml/2020/threadedcomments2" uri="{F7C98A9C-CBB3-438F-8F68-D28B6AF4A901}">
        <xltc2:checksum>2675990717</xltc2:checksum>
        <xltc2:hyperlink startIndex="4" length="149" url="https://lincolnshire.icb.nhs.uk/~documents/icb-publications/our-policies-and-procedures/clinical-governance/cg-003-prior-approval-policy/?layout=file"/>
      </x:ext>
    </extLst>
  </threadedComment>
  <threadedComment ref="E25" dT="2025-06-11T15:35:27.05" personId="{95736710-EFA0-493C-AAE5-6E4C07E0F9AD}" id="{C7390AF9-EAD7-424C-B4FD-E6CA1EAFD458}">
    <text>Restricted for cancer patients, ifr for non-cancer https://www.birminghamsolihull.icb.nhs.uk/application/files/8916/4864/1051/Policy_for_cosmetic_surgery_mastopexy.pdf</text>
    <extLst>
      <x:ext xmlns:xltc2="http://schemas.microsoft.com/office/spreadsheetml/2020/threadedcomments2" uri="{F7C98A9C-CBB3-438F-8F68-D28B6AF4A901}">
        <xltc2:checksum>2577704002</xltc2:checksum>
        <xltc2:hyperlink startIndex="51" length="116" url="https://www.birminghamsolihull.icb.nhs.uk/application/files/8916/4864/1051/Policy_for_cosmetic_surgery_mastopexy.pdf"/>
      </x:ext>
    </extLst>
  </threadedComment>
  <threadedComment ref="L25" dT="2025-06-18T11:30:42.24" personId="{95736710-EFA0-493C-AAE5-6E4C07E0F9AD}" id="{839FB041-5231-4075-8647-D438C982F9B1}">
    <text>IFR https://www.happyhealthylives.uk/clientfiles/files/document_library/Treatments%20Designed%20to%20Improve%20Aesthetic%20Appearance%20Policy.pdf</text>
    <extLst>
      <x:ext xmlns:xltc2="http://schemas.microsoft.com/office/spreadsheetml/2020/threadedcomments2" uri="{F7C98A9C-CBB3-438F-8F68-D28B6AF4A901}">
        <xltc2:checksum>2632187342</xltc2:checksum>
        <xltc2:hyperlink startIndex="4" length="142" url="https://www.happyhealthylives.uk/clientfiles/files/document_library/Treatments%20Designed%20to%20Improve%20Aesthetic%20Appearance%20Policy.pdf"/>
      </x:ext>
    </extLst>
  </threadedComment>
  <threadedComment ref="V25" dT="2025-06-22T20:59:21.51" personId="{95736710-EFA0-493C-AAE5-6E4C07E0F9AD}" id="{D5A77555-4C67-4E07-87FA-E4CE82F48F89}">
    <text>Unable to find ref</text>
  </threadedComment>
  <threadedComment ref="AA25" dT="2025-06-27T10:09:30.00" personId="{95736710-EFA0-493C-AAE5-6E4C07E0F9AD}" id="{1563DE85-073E-4D97-A2E3-5DCF4DC1FCC3}">
    <text>Unable to find ref https://www.midandsouthessex.ics.nhs.uk/publications/?publications_category=service-restriction-policy-srp&amp;page_no=3</text>
    <extLst>
      <x:ext xmlns:xltc2="http://schemas.microsoft.com/office/spreadsheetml/2020/threadedcomments2" uri="{F7C98A9C-CBB3-438F-8F68-D28B6AF4A901}">
        <xltc2:checksum>3979661271</xltc2:checksum>
        <xltc2:hyperlink startIndex="19" length="116" url="https://www.midandsouthessex.ics.nhs.uk/publications/?publications_category=service-restriction-policy-srp&amp;page_no=3"/>
      </x:ext>
    </extLst>
  </threadedComment>
  <threadedComment ref="AC25" dT="2025-06-24T10:51:31.15" personId="{95736710-EFA0-493C-AAE5-6E4C07E0F9AD}" id="{CDAA0F77-E987-4B6B-A6C8-60D7E8DC9B91}">
    <text>IFR unless “Mastopexy (bilateral or unilateral) is not routinely funded by NCL ICB unless the patient is undergoing reconstruction following surgery to treat or prevent breast cancer. ” - therefore tick https://nclhealthandcare.org.uk/wp-content/uploads/2024/02/NCL-EBICS-Policy-v9.2-2.pdf</text>
    <extLst>
      <x:ext xmlns:xltc2="http://schemas.microsoft.com/office/spreadsheetml/2020/threadedcomments2" uri="{F7C98A9C-CBB3-438F-8F68-D28B6AF4A901}">
        <xltc2:checksum>871099311</xltc2:checksum>
        <xltc2:hyperlink startIndex="203" length="86" url="https://nclhealthandcare.org.uk/wp-content/uploads/2024/02/NCL-EBICS-Policy-v9.2-2.pdf"/>
      </x:ext>
    </extLst>
  </threadedComment>
  <threadedComment ref="Z26" dT="2025-06-22T22:12:31.48" personId="{95736710-EFA0-493C-AAE5-6E4C07E0F9AD}" id="{3CBF8CD4-EBAE-495D-93E9-34A8584D9817}">
    <text>IFR https://lincolnshire.icb.nhs.uk/~documents/icb-publications/our-policies-and-procedures/clinical-governance/cg-003-prior-approval-policy/?layout=file</text>
    <extLst>
      <x:ext xmlns:xltc2="http://schemas.microsoft.com/office/spreadsheetml/2020/threadedcomments2" uri="{F7C98A9C-CBB3-438F-8F68-D28B6AF4A901}">
        <xltc2:checksum>2675990717</xltc2:checksum>
        <xltc2:hyperlink startIndex="4" length="149" url="https://lincolnshire.icb.nhs.uk/~documents/icb-publications/our-policies-and-procedures/clinical-governance/cg-003-prior-approval-policy/?layout=file"/>
      </x:ext>
    </extLst>
  </threadedComment>
  <threadedComment ref="AL26" dT="2025-06-26T21:16:27.18" personId="{95736710-EFA0-493C-AAE5-6E4C07E0F9AD}" id="{AF888007-26CC-409F-968A-DCAE5D5C7211}">
    <text>Criteria : “Breast reduction will not routinely be commissioned by the NHS for cosmetic reasons. Breast reduction may rarely be considered on an exceptional basis, for example where the patient: • has a breast measurement of cup size G or larger and • has a BMI in the range 18.5 - 27 or and • is 19 years of age or over and • has significant musculo-skeletal pain causing functional impairment which in the opinion of the referrer is likely to be corrected or significantly improved by surgery and • has tried and failed with all other advice an ”</text>
  </threadedComment>
  <threadedComment ref="H27" dT="2025-06-17T17:22:12.45" personId="{95736710-EFA0-493C-AAE5-6E4C07E0F9AD}" id="{D567F99C-479C-4FEC-905A-D145ECB4CA7E}">
    <text>Men not in policy https://www.bucksoxonberksw.icb.nhs.uk/media/4386/bobfpc112-breast-reduction-surgery.pdf therefore NA</text>
    <extLst>
      <x:ext xmlns:xltc2="http://schemas.microsoft.com/office/spreadsheetml/2020/threadedcomments2" uri="{F7C98A9C-CBB3-438F-8F68-D28B6AF4A901}">
        <xltc2:checksum>4167588739</xltc2:checksum>
        <xltc2:hyperlink startIndex="18" length="88" url="https://www.bucksoxonberksw.icb.nhs.uk/media/4386/bobfpc112-breast-reduction-surgery.pdf"/>
      </x:ext>
    </extLst>
  </threadedComment>
  <threadedComment ref="J27" dT="2025-06-18T09:31:55.71" personId="{95736710-EFA0-493C-AAE5-6E4C07E0F9AD}" id="{3D3A6BCB-3633-444D-A5B5-E8BE28098384}">
    <text>IFR https://www.cheshireandmerseyside.nhs.uk/media/mtekvvhc/pol-clin113-gynaecomastia-final-v03.pdf</text>
    <extLst>
      <x:ext xmlns:xltc2="http://schemas.microsoft.com/office/spreadsheetml/2020/threadedcomments2" uri="{F7C98A9C-CBB3-438F-8F68-D28B6AF4A901}">
        <xltc2:checksum>1929771723</xltc2:checksum>
        <xltc2:hyperlink startIndex="4" length="95" url="https://www.cheshireandmerseyside.nhs.uk/media/mtekvvhc/pol-clin113-gynaecomastia-final-v03.pdf"/>
      </x:ext>
    </extLst>
  </threadedComment>
  <threadedComment ref="Q27" dT="2025-06-18T16:49:11.38" personId="{95736710-EFA0-493C-AAE5-6E4C07E0F9AD}" id="{D3884141-00EF-41AA-8EC3-927311AF5F58}">
    <text>IFR https://www.nhsglos.nhs.uk/wp-content/uploads/2025/03/Breast-Procedures-1.pdf</text>
    <extLst>
      <x:ext xmlns:xltc2="http://schemas.microsoft.com/office/spreadsheetml/2020/threadedcomments2" uri="{F7C98A9C-CBB3-438F-8F68-D28B6AF4A901}">
        <xltc2:checksum>2648319502</xltc2:checksum>
        <xltc2:hyperlink startIndex="4" length="77" url="https://www.nhsglos.nhs.uk/wp-content/uploads/2025/03/Breast-Procedures-1.pdf"/>
      </x:ext>
    </extLst>
  </threadedComment>
  <threadedComment ref="Z27" dT="2025-06-22T22:13:25.20" personId="{95736710-EFA0-493C-AAE5-6E4C07E0F9AD}" id="{C99494FE-1AE2-410A-ACD3-D69AE640535C}">
    <text xml:space="preserve">IFR - https://lincolnshire.icb.nhs.uk/~documents/icb-publications/our-policies-and-procedures/clinical-governance/cg-003-prior-approval-policy/?layout=fileGynaecomastia Surgery for Gynaecomastia to improve appearance alone is not routinely commissioned. This is because surgery for reduction of male breast tissue is deemed to be cosmetic. We do not routinely fund for idiopathic gynaecomastia in men. Where gynaecomastia is caused by medical treatment such as prostate cancer, an IFR may be considered where BMI is </text>
    <extLst>
      <x:ext xmlns:xltc2="http://schemas.microsoft.com/office/spreadsheetml/2020/threadedcomments2" uri="{F7C98A9C-CBB3-438F-8F68-D28B6AF4A901}">
        <xltc2:checksum>1632107647</xltc2:checksum>
        <xltc2:hyperlink startIndex="6" length="162" url="https://lincolnshire.icb.nhs.uk/~documents/icb-publications/our-policies-and-procedures/clinical-governance/cg-003-prior-approval-policy/?layout=fileGynaecomastia"/>
      </x:ext>
    </extLst>
  </threadedComment>
  <threadedComment ref="AC27" dT="2025-06-24T10:52:12.88" personId="{95736710-EFA0-493C-AAE5-6E4C07E0F9AD}" id="{8D7A9539-8806-48D6-AD94-FE4E03C507A6}">
    <text>Tick? “Gynaecomastia is not routinely funded by NCL ICB. This policy does not apply to surgery for gynaecomastia caused by medical treatments (e.g. treatments for prostate cancer). ”</text>
  </threadedComment>
  <threadedComment ref="AL27" dT="2025-06-26T21:16:51.22" personId="{95736710-EFA0-493C-AAE5-6E4C07E0F9AD}" id="{597D7828-2D8B-49E5-AE1E-77FC2FE17B30}">
    <text xml:space="preserve">Criteria? Surgery may be considered on an exceptional basis, for example where the patient: • has more than 100g of sub areolar gland and ductal tissue (not fat) and • has a BMI in the range 18.5 - 27 or and • has been screened prior to referral to exclude endocrine and drug related causes (if drugs have been a factor then a period of one year since last use should have elapsed) and • has completed puberty - surgery is not routinely commissioned below the age of 19 years and • has been monitored for at least 1 year to allow for natural resolution if aged 25 or younger </text>
  </threadedComment>
  <threadedComment ref="E31" dT="2025-06-11T15:39:31.11" personId="{95736710-EFA0-493C-AAE5-6E4C07E0F9AD}" id="{6CA994FF-15AD-4432-82F0-E59513FC0ED9}">
    <text>In patient care or therapy in a residential setting are not routinely commissioned for the treatment of CFS/ME due to the lack of clinical evidence to support this intervention. https://www.birminghamsolihull.icb.nhs.uk/health-information-and-advice/policies/head-neck-and-neurological</text>
    <extLst>
      <x:ext xmlns:xltc2="http://schemas.microsoft.com/office/spreadsheetml/2020/threadedcomments2" uri="{F7C98A9C-CBB3-438F-8F68-D28B6AF4A901}">
        <xltc2:checksum>1749618783</xltc2:checksum>
        <xltc2:hyperlink startIndex="178" length="107" url="https://www.birminghamsolihull.icb.nhs.uk/health-information-and-advice/policies/head-neck-and-neurological"/>
      </x:ext>
    </extLst>
  </threadedComment>
  <threadedComment ref="K31" dT="2025-06-18T10:27:37.31" personId="{95736710-EFA0-493C-AAE5-6E4C07E0F9AD}" id="{A57C454A-815A-49F7-85E6-D9907BFE8998}">
    <text>Criteria based? https://docs.cios.icb.nhs.uk/DocumentsLibrary/NHSCornwallAndIslesOfScilly/Services/IndividualFundingRequests/CommissioningPolicies.pdf</text>
    <extLst>
      <x:ext xmlns:xltc2="http://schemas.microsoft.com/office/spreadsheetml/2020/threadedcomments2" uri="{F7C98A9C-CBB3-438F-8F68-D28B6AF4A901}">
        <xltc2:checksum>2714842514</xltc2:checksum>
        <xltc2:hyperlink startIndex="16" length="134" url="https://docs.cios.icb.nhs.uk/DocumentsLibrary/NHSCornwallAndIslesOfScilly/Services/IndividualFundingRequests/CommissioningPolicies.pdf"/>
      </x:ext>
    </extLst>
  </threadedComment>
  <threadedComment ref="T31" dT="2025-06-22T18:48:38.08" personId="{95736710-EFA0-493C-AAE5-6E4C07E0F9AD}" id="{272BA10F-55C4-46F9-A777-3E26CD79DEA3}">
    <text>Unable to find ref</text>
  </threadedComment>
  <threadedComment ref="AA31" dT="2025-06-27T10:57:41.48" personId="{95736710-EFA0-493C-AAE5-6E4C07E0F9AD}" id="{B675E544-E059-4CC9-B0AC-1874EA9105EC}">
    <text>Unable to find ref to residential/inpatient https://www.midandsouthessex.ics.nhs.uk/publications/srp-034-myalgic-encephalomyelitis-chronic-fatigue-syndrome/</text>
    <extLst>
      <x:ext xmlns:xltc2="http://schemas.microsoft.com/office/spreadsheetml/2020/threadedcomments2" uri="{F7C98A9C-CBB3-438F-8F68-D28B6AF4A901}">
        <xltc2:checksum>1655678160</xltc2:checksum>
        <xltc2:hyperlink startIndex="44" length="112" url="https://www.midandsouthessex.ics.nhs.uk/publications/srp-034-myalgic-encephalomyelitis-chronic-fatigue-syndrome/"/>
      </x:ext>
    </extLst>
  </threadedComment>
  <threadedComment ref="U32" dT="2025-06-22T19:49:34.39" personId="{95736710-EFA0-493C-AAE5-6E4C07E0F9AD}" id="{CBAF24D0-5DEC-4BC6-87BE-49A422857F5A}">
    <text>EBI? https://www.hweclinicalguidance.nhs.uk/all-clinical-areas-documents/search-results/penile-circumcision/</text>
    <extLst>
      <x:ext xmlns:xltc2="http://schemas.microsoft.com/office/spreadsheetml/2020/threadedcomments2" uri="{F7C98A9C-CBB3-438F-8F68-D28B6AF4A901}">
        <xltc2:checksum>950755295</xltc2:checksum>
        <xltc2:hyperlink startIndex="5" length="103" url="https://www.hweclinicalguidance.nhs.uk/all-clinical-areas-documents/search-results/penile-circumcision/"/>
      </x:ext>
    </extLst>
  </threadedComment>
  <threadedComment ref="I33" dT="2025-06-17T21:58:34.19" personId="{95736710-EFA0-493C-AAE5-6E4C07E0F9AD}" id="{DD4B57BB-C7DE-427F-91E4-341B671387ED}">
    <text>? Same as coloured lenses. https://www.cpics.org.uk/download.cfm?doc=docm93jijm4n1143.pdf&amp;ver=2069 IFR.</text>
    <extLst>
      <x:ext xmlns:xltc2="http://schemas.microsoft.com/office/spreadsheetml/2020/threadedcomments2" uri="{F7C98A9C-CBB3-438F-8F68-D28B6AF4A901}">
        <xltc2:checksum>1324795829</xltc2:checksum>
        <xltc2:hyperlink startIndex="27" length="71" url="https://www.cpics.org.uk/download.cfm?doc=docm93jijm4n1143.pdf&amp;ver=2069"/>
      </x:ext>
    </extLst>
  </threadedComment>
  <threadedComment ref="M34" dT="2025-06-18T12:21:44.60" personId="{95736710-EFA0-493C-AAE5-6E4C07E0F9AD}" id="{B0A438CB-A213-44DB-A05F-80EFB107936C}">
    <text>acupuncture</text>
  </threadedComment>
  <threadedComment ref="R34" dT="2025-06-18T19:18:27.80" personId="{95736710-EFA0-493C-AAE5-6E4C07E0F9AD}" id="{FBCDE3AB-F606-47E6-ABF7-F97BD5598A41}">
    <text>Complementary and alternative therapies are not commissioned as stand-alone treatments.  https://nhsgmgmicbsa.blob.core.windows.net/nhsgmgmicbblobstorage/GMEUR/Commissioning%20Statements/GM%20Complementary%20Therapies%20Commissioning%20Statement.pdf IFR?</text>
    <extLst>
      <x:ext xmlns:xltc2="http://schemas.microsoft.com/office/spreadsheetml/2020/threadedcomments2" uri="{F7C98A9C-CBB3-438F-8F68-D28B6AF4A901}">
        <xltc2:checksum>310261397</xltc2:checksum>
        <xltc2:hyperlink startIndex="89" length="160" url="https://nhsgmgmicbsa.blob.core.windows.net/nhsgmgmicbblobstorage/GMEUR/Commissioning%20Statements/GM%20Complementary%20Therapies%20Commissioning%20Statement.pdf"/>
      </x:ext>
    </extLst>
  </threadedComment>
  <threadedComment ref="U34" dT="2025-06-22T19:50:51.69" personId="{95736710-EFA0-493C-AAE5-6E4C07E0F9AD}" id="{5B363FB1-0F4F-4D8E-AF0A-7F2EFC1B00B8}">
    <text>“Due to low evidence of effectiveness, complimentary therapies will only be funded in exceptional circumstances and where they are incorporated into mainstream NHS practice. ” ?EBI?  https://www.hweclinicalguidance.nhs.uk/all-clinical-areas-documents/search-results/complementary-alternative-therapies/</text>
    <extLst>
      <x:ext xmlns:xltc2="http://schemas.microsoft.com/office/spreadsheetml/2020/threadedcomments2" uri="{F7C98A9C-CBB3-438F-8F68-D28B6AF4A901}">
        <xltc2:checksum>2009601526</xltc2:checksum>
        <xltc2:hyperlink startIndex="183" length="119" url="https://www.hweclinicalguidance.nhs.uk/all-clinical-areas-documents/search-results/complementary-alternative-therapies/"/>
      </x:ext>
    </extLst>
  </threadedComment>
  <threadedComment ref="V34" dT="2025-06-22T21:03:17.80" personId="{95736710-EFA0-493C-AAE5-6E4C07E0F9AD}" id="{79A900BB-3672-4092-AB87-A4992A996ED5}">
    <text>Acupuncture is a tick however https://humberandnorthyorkshire.icb.nhs.uk/wp-content/uploads/2024/12/Complementary-alternative-therapies.docx</text>
    <extLst>
      <x:ext xmlns:xltc2="http://schemas.microsoft.com/office/spreadsheetml/2020/threadedcomments2" uri="{F7C98A9C-CBB3-438F-8F68-D28B6AF4A901}">
        <xltc2:checksum>548197762</xltc2:checksum>
        <xltc2:hyperlink startIndex="30" length="110" url="https://humberandnorthyorkshire.icb.nhs.uk/wp-content/uploads/2024/12/Complementary-alternative-therapies.docx"/>
      </x:ext>
    </extLst>
  </threadedComment>
  <threadedComment ref="X34" dT="2025-06-27T09:08:04.00" personId="{95736710-EFA0-493C-AAE5-6E4C07E0F9AD}" id="{F7B44604-F9E4-4C9B-8414-0E000C8F6E8C}">
    <text>Acupuncunture used as rehab for facial nerve damage https://www.healthierlsc.co.uk/application/files/2516/7576/5526/LSCICB_Clin37_Policy_for_Rehabilitation_after_Damage_to_Facial_Nerve_V1.1.pdf</text>
    <extLst>
      <x:ext xmlns:xltc2="http://schemas.microsoft.com/office/spreadsheetml/2020/threadedcomments2" uri="{F7C98A9C-CBB3-438F-8F68-D28B6AF4A901}">
        <xltc2:checksum>3745265246</xltc2:checksum>
        <xltc2:hyperlink startIndex="52" length="141" url="https://www.healthierlsc.co.uk/application/files/2516/7576/5526/LSCICB_Clin37_Policy_for_Rehabilitation_after_Damage_to_Facial_Nerve_V1.1.pdf"/>
      </x:ext>
    </extLst>
  </threadedComment>
  <threadedComment ref="X34" dT="2025-06-27T09:09:09.67" personId="{95736710-EFA0-493C-AAE5-6E4C07E0F9AD}" id="{F66A29F8-6F72-4901-A533-1C9FC7F541B4}" parentId="{F7B44604-F9E4-4C9B-8414-0E000C8F6E8C}">
    <text>Tick? - 1.1 The ICB will only commission complementary and alternative therapies where there is clear evidence of effectiveness and when they are carried out by an agreed NHS provider as part of an existing NHS pathway of care (e.g. as part of a package of end-of-life care or pain management) or when exceptionality has been demonstrated in accordance with section 8 below. 1.2 The ICB will not commission complementary and alternative therapies as “stand alone” treatments either within or outside of the NHS. https://www.healthierlsc.co.uk/application/files/3216/8487/3598/LSCICB_Clin38_Policy_for_Complementary_and_Alternative_Therapies_-_v1.1.pdf</text>
    <extLst>
      <x:ext xmlns:xltc2="http://schemas.microsoft.com/office/spreadsheetml/2020/threadedcomments2" uri="{F7C98A9C-CBB3-438F-8F68-D28B6AF4A901}">
        <xltc2:checksum>3268385834</xltc2:checksum>
        <xltc2:hyperlink startIndex="512" length="139" url="https://www.healthierlsc.co.uk/application/files/3216/8487/3598/LSCICB_Clin38_Policy_for_Complementary_and_Alternative_Therapies_-_v1.1.pdf"/>
      </x:ext>
    </extLst>
  </threadedComment>
  <threadedComment ref="AB34" dT="2025-06-27T11:11:12.45" personId="{95736710-EFA0-493C-AAE5-6E4C07E0F9AD}" id="{6851E343-FC1D-4611-A28C-F8A9B29564DE}">
    <text>Tick “Acupuncture (Needle therapy for pain relief and other conditions)
Referrals for Acupuncture are considered of low priority and will only be funded by Norfolk and Waveney Integrated Care Board (ICB) in the management of migraines and tension type headaches as per NICE Guidance CG150” https://nwknowledgenow.nhs.uk/content/acupuncture/</text>
    <extLst>
      <x:ext xmlns:xltc2="http://schemas.microsoft.com/office/spreadsheetml/2020/threadedcomments2" uri="{F7C98A9C-CBB3-438F-8F68-D28B6AF4A901}">
        <xltc2:checksum>3722746056</xltc2:checksum>
        <xltc2:hyperlink startIndex="269" length="19" url="https://www.nice.org.uk/guidance/cg150"/>
        <xltc2:hyperlink startIndex="290" length="50" url="https://nwknowledgenow.nhs.uk/content/acupuncture/"/>
      </x:ext>
    </extLst>
  </threadedComment>
  <threadedComment ref="AB34" dT="2025-06-27T11:16:06.12" personId="{95736710-EFA0-493C-AAE5-6E4C07E0F9AD}" id="{226F3F9B-B014-4B9F-9FAD-9CD9ED327182}" parentId="{6851E343-FC1D-4611-A28C-F8A9B29564DE}">
    <text>IFR otherwise https://nwknowledgenow.nhs.uk/content/complementary-and-alternative-therapies/</text>
    <extLst>
      <x:ext xmlns:xltc2="http://schemas.microsoft.com/office/spreadsheetml/2020/threadedcomments2" uri="{F7C98A9C-CBB3-438F-8F68-D28B6AF4A901}">
        <xltc2:checksum>4177590632</xltc2:checksum>
        <xltc2:hyperlink startIndex="14" length="78" url="https://nwknowledgenow.nhs.uk/content/complementary-and-alternative-therapies/"/>
      </x:ext>
    </extLst>
  </threadedComment>
  <threadedComment ref="AC34" dT="2025-06-24T10:53:18.41" personId="{95736710-EFA0-493C-AAE5-6E4C07E0F9AD}" id="{5CB1A616-0695-4ECE-8666-AE19500F60D9}">
    <text>?tick - “Complementary and alternative medicines are not routinely funded by NCL ICB unless they are recommended by current NICE guidance to treat the relevant indication. ”</text>
  </threadedComment>
  <threadedComment ref="AJ34" dT="2025-06-27T22:46:32.41" personId="{95736710-EFA0-493C-AAE5-6E4C07E0F9AD}" id="{7D6C659A-CB80-4224-84CE-9735D9F9ED86}">
    <text>Criteria for acupuncture https://nhssomerset.nhs.uk/wp-content/uploads/sites/2/20240313-Acupuncture-for-Chronic-Pain-CBA-Policy-2425.v1c.pdf</text>
    <extLst>
      <x:ext xmlns:xltc2="http://schemas.microsoft.com/office/spreadsheetml/2020/threadedcomments2" uri="{F7C98A9C-CBB3-438F-8F68-D28B6AF4A901}">
        <xltc2:checksum>1250922049</xltc2:checksum>
        <xltc2:hyperlink startIndex="25" length="115" url="https://nhssomerset.nhs.uk/wp-content/uploads/sites/2/20240313-Acupuncture-for-Chronic-Pain-CBA-Policy-2425.v1c.pdf"/>
      </x:ext>
    </extLst>
  </threadedComment>
  <threadedComment ref="AL34" dT="2025-06-26T21:30:10.91" personId="{95736710-EFA0-493C-AAE5-6E4C07E0F9AD}" id="{CCFC16C2-2730-4EEC-A40E-D31746A205D6}">
    <text>Acupuncture - “Not Routinely Commissioned except for chronic tension type headaches and migraine ”https://syics.co.uk/application/files/5916/8017/2095/FINAL_EBI_CFO_v.24_Final_27_March_2023.pdf</text>
    <extLst>
      <x:ext xmlns:xltc2="http://schemas.microsoft.com/office/spreadsheetml/2020/threadedcomments2" uri="{F7C98A9C-CBB3-438F-8F68-D28B6AF4A901}">
        <xltc2:checksum>1816658233</xltc2:checksum>
        <xltc2:hyperlink startIndex="98" length="95" url="https://syics.co.uk/application/files/5916/8017/2095/FINAL_EBI_CFO_v.24_Final_27_March_2023.pdf"/>
      </x:ext>
    </extLst>
  </threadedComment>
  <threadedComment ref="AQ34" dT="2025-06-28T11:50:24.04" personId="{95736710-EFA0-493C-AAE5-6E4C07E0F9AD}" id="{FAAA7806-D383-4FAE-9EF4-8F777C213D51}">
    <text>Some tick - “Appendix B: Acupuncture Guidance and Evidence Base ”https://www.wypartnership.co.uk/application/files/2417/0231/1502/Complementary_Therapies_2018_Leeds.pdf</text>
    <extLst>
      <x:ext xmlns:xltc2="http://schemas.microsoft.com/office/spreadsheetml/2020/threadedcomments2" uri="{F7C98A9C-CBB3-438F-8F68-D28B6AF4A901}">
        <xltc2:checksum>3529650236</xltc2:checksum>
        <xltc2:hyperlink startIndex="65" length="103" url="https://www.wypartnership.co.uk/application/files/2417/0231/1502/Complementary_Therapies_2018_Leeds.pdf"/>
      </x:ext>
    </extLst>
  </threadedComment>
  <threadedComment ref="V35" dT="2025-06-22T21:03:56.25" personId="{95736710-EFA0-493C-AAE5-6E4C07E0F9AD}" id="{DFD41F92-6D83-48DB-9B25-703417D89321}">
    <text>Tick https://humberandnorthyorkshire.icb.nhs.uk/wp-content/uploads/2025/04/084-Continuous-Positive-Airway-Pressure-CPAP-for-obstructive-airway-and-hypoventilation-sleep-syndromes.docx</text>
    <extLst>
      <x:ext xmlns:xltc2="http://schemas.microsoft.com/office/spreadsheetml/2020/threadedcomments2" uri="{F7C98A9C-CBB3-438F-8F68-D28B6AF4A901}">
        <xltc2:checksum>565400113</xltc2:checksum>
        <xltc2:hyperlink startIndex="5" length="178" url="https://humberandnorthyorkshire.icb.nhs.uk/wp-content/uploads/2025/04/084-Continuous-Positive-Airway-Pressure-CPAP-for-obstructive-airway-and-hypoventilation-sleep-syndromes.docx"/>
      </x:ext>
    </extLst>
  </threadedComment>
  <threadedComment ref="Z35" dT="2025-06-22T22:15:46.74" personId="{95736710-EFA0-493C-AAE5-6E4C07E0F9AD}" id="{AF56EDC8-D0CB-471F-A6E1-94F4B912E4CD}">
    <text>In line with NICE https://lincolnshire.icb.nhs.uk/~documents/icb-publications/our-policies-and-procedures/clinical-governance/cg-003-prior-approval-policy/?layout=file</text>
    <extLst>
      <x:ext xmlns:xltc2="http://schemas.microsoft.com/office/spreadsheetml/2020/threadedcomments2" uri="{F7C98A9C-CBB3-438F-8F68-D28B6AF4A901}">
        <xltc2:checksum>1132031078</xltc2:checksum>
        <xltc2:hyperlink startIndex="18" length="149" url="https://lincolnshire.icb.nhs.uk/~documents/icb-publications/our-policies-and-procedures/clinical-governance/cg-003-prior-approval-policy/?layout=file"/>
      </x:ext>
    </extLst>
  </threadedComment>
  <threadedComment ref="AA35" dT="2025-06-27T10:18:00.51" personId="{95736710-EFA0-493C-AAE5-6E4C07E0F9AD}" id="{D4A0DB1A-24F6-4A58-9E24-27FFBD645280}">
    <text>Tick https://www.midandsouthessex.ics.nhs.uk/publications/srp-038-continuous-positive-airway-pressure-cpap-in-adults/</text>
    <extLst>
      <x:ext xmlns:xltc2="http://schemas.microsoft.com/office/spreadsheetml/2020/threadedcomments2" uri="{F7C98A9C-CBB3-438F-8F68-D28B6AF4A901}">
        <xltc2:checksum>4019186069</xltc2:checksum>
        <xltc2:hyperlink startIndex="5" length="112" url="https://www.midandsouthessex.ics.nhs.uk/publications/srp-038-continuous-positive-airway-pressure-cpap-in-adults/"/>
      </x:ext>
    </extLst>
  </threadedComment>
  <threadedComment ref="AG35" dT="2025-06-27T22:18:16.46" personId="{95736710-EFA0-493C-AAE5-6E4C07E0F9AD}" id="{DEB34441-0727-40C9-9A28-DED3E3BC99E9}">
    <text>Tick - https://www.icnorthamptonshire.org.uk/download.cfm?doc=docm93jijm4n21599&amp;ver=65847</text>
    <extLst>
      <x:ext xmlns:xltc2="http://schemas.microsoft.com/office/spreadsheetml/2020/threadedcomments2" uri="{F7C98A9C-CBB3-438F-8F68-D28B6AF4A901}">
        <xltc2:checksum>1301072136</xltc2:checksum>
        <xltc2:hyperlink startIndex="7" length="82" url="https://www.icnorthamptonshire.org.uk/download.cfm?doc=docm93jijm4n21599&amp;ver=65847"/>
      </x:ext>
    </extLst>
  </threadedComment>
  <threadedComment ref="AO35" dT="2025-06-28T11:02:37.84" personId="{95736710-EFA0-493C-AAE5-6E4C07E0F9AD}" id="{0CF7D545-BED7-4DAF-AA91-FB623D7E11AC}">
    <text xml:space="preserve">Tick - “Continuous positive airway pressure (CPAP) for mild OSAHS” https://www.surreyheartlands.org/tnrf2-other-procedures </text>
    <extLst>
      <x:ext xmlns:xltc2="http://schemas.microsoft.com/office/spreadsheetml/2020/threadedcomments2" uri="{F7C98A9C-CBB3-438F-8F68-D28B6AF4A901}">
        <xltc2:checksum>3501001689</xltc2:checksum>
        <xltc2:hyperlink startIndex="67" length="55" url="https://www.surreyheartlands.org/tnrf2-other-procedures"/>
      </x:ext>
    </extLst>
  </threadedComment>
  <threadedComment ref="C36" dT="2025-06-02T09:16:40.65" personId="{95736710-EFA0-493C-AAE5-6E4C07E0F9AD}" id="{15CE67EC-9E52-4552-A4AF-9614316131D6}">
    <text>Female only</text>
  </threadedComment>
  <threadedComment ref="E36" dT="2025-06-11T15:47:03.31" personId="{95736710-EFA0-493C-AAE5-6E4C07E0F9AD}" id="{62D43815-E7DB-497E-8A61-A6BA03EB57D7}">
    <text>This said criteria based “restriced” https://www.birminghamsolihull.icb.nhs.uk/application/files/5016/5952/2676/Policy_for_cosmetic_surgery_other_cosmetic_procedures.pdf but this says “Labia reduction surgery should is not normally funded by the patient’s local NHS commissioning organisation unless the surgery is medically advised.
” https://www.birminghamsolihull.icb.nhs.uk/health-information-and-advice/policies/womens-health-gynaecology</text>
    <extLst>
      <x:ext xmlns:xltc2="http://schemas.microsoft.com/office/spreadsheetml/2020/threadedcomments2" uri="{F7C98A9C-CBB3-438F-8F68-D28B6AF4A901}">
        <xltc2:checksum>4288175884</xltc2:checksum>
        <xltc2:hyperlink startIndex="37" length="132" url="https://www.birminghamsolihull.icb.nhs.uk/application/files/5016/5952/2676/Policy_for_cosmetic_surgery_other_cosmetic_procedures.pdf"/>
        <xltc2:hyperlink startIndex="336" length="106" url="https://www.birminghamsolihull.icb.nhs.uk/health-information-and-advice/policies/womens-health-gynaecology"/>
      </x:ext>
    </extLst>
  </threadedComment>
  <threadedComment ref="AN36" dT="2025-06-28T09:32:36.94" personId="{95736710-EFA0-493C-AAE5-6E4C07E0F9AD}" id="{6EB91C6E-DF8E-4EDA-8B76-41F13DC9860F}">
    <text>IFR? Says policy does not cover “Surgery to alter the appearance of the labia or vagina for cosmetic reasons ” https://suffolkandnortheastessex.icb.nhs.uk/about-us/our-policies/</text>
    <extLst>
      <x:ext xmlns:xltc2="http://schemas.microsoft.com/office/spreadsheetml/2020/threadedcomments2" uri="{F7C98A9C-CBB3-438F-8F68-D28B6AF4A901}">
        <xltc2:checksum>392091496</xltc2:checksum>
        <xltc2:hyperlink startIndex="111" length="66" url="https://suffolkandnortheastessex.icb.nhs.uk/about-us/our-policies/"/>
      </x:ext>
    </extLst>
  </threadedComment>
  <threadedComment ref="W38" dT="2025-06-24T09:33:21.77" personId="{95736710-EFA0-493C-AAE5-6E4C07E0F9AD}" id="{6B190C02-7181-4157-A4C9-9E9B8456FB9C}">
    <text>NHS England guidance “Cryotherapy for localised prostate cancer”  https://www.kentandmedway.icb.nhs.uk/application/files/9817/1292/6708/KM_RaTC_April_2024.pdf</text>
    <extLst>
      <x:ext xmlns:xltc2="http://schemas.microsoft.com/office/spreadsheetml/2020/threadedcomments2" uri="{F7C98A9C-CBB3-438F-8F68-D28B6AF4A901}">
        <xltc2:checksum>296341248</xltc2:checksum>
        <xltc2:hyperlink startIndex="66" length="92" url="https://www.kentandmedway.icb.nhs.uk/application/files/9817/1292/6708/KM_RaTC_April_2024.pdf"/>
      </x:ext>
    </extLst>
  </threadedComment>
  <threadedComment ref="F39" dT="2025-06-11T21:34:50.25" personId="{95736710-EFA0-493C-AAE5-6E4C07E0F9AD}" id="{101D4D43-651D-48B3-BBA0-2438FBC65436}">
    <text>Cystoscopy for uncomplicated lower urinary tract symptoms
A procedure using a thin telescope to look at the lining of the bladder.
cEBI - https://blackcountry.icb.nhs.uk/have-your-say/get-involved/current-consultations-and-engagement/clinical-policy-review2</text>
    <extLst>
      <x:ext xmlns:xltc2="http://schemas.microsoft.com/office/spreadsheetml/2020/threadedcomments2" uri="{F7C98A9C-CBB3-438F-8F68-D28B6AF4A901}">
        <xltc2:checksum>189177854</xltc2:checksum>
        <xltc2:hyperlink startIndex="138" length="119" url="https://blackcountry.icb.nhs.uk/have-your-say/get-involved/current-consultations-and-engagement/clinical-policy-review2"/>
      </x:ext>
    </extLst>
  </threadedComment>
  <threadedComment ref="M39" dT="2025-06-18T12:23:49.74" personId="{95736710-EFA0-493C-AAE5-6E4C07E0F9AD}" id="{B8C82022-3220-4014-8AA8-9E1410402F5F}">
    <text>Criteria based https://www.derbyshiremedicinesmanagement.nhs.uk/assets/Clinical-Policies/Clinical_Policies/PLCV/urology/Cystoscopy_for_uncomplicated_lower_urinary_tract_symptoms.pdf</text>
    <extLst>
      <x:ext xmlns:xltc2="http://schemas.microsoft.com/office/spreadsheetml/2020/threadedcomments2" uri="{F7C98A9C-CBB3-438F-8F68-D28B6AF4A901}">
        <xltc2:checksum>872386684</xltc2:checksum>
        <xltc2:hyperlink startIndex="15" length="166" url="https://www.derbyshiremedicinesmanagement.nhs.uk/assets/Clinical-Policies/Clinical_Policies/PLCV/urology/Cystoscopy_for_uncomplicated_lower_urinary_tract_symptoms.pdf"/>
      </x:ext>
    </extLst>
  </threadedComment>
  <threadedComment ref="T39" dT="2025-06-22T18:20:27.94" personId="{95736710-EFA0-493C-AAE5-6E4C07E0F9AD}" id="{F19B5AEB-431C-444F-AE1E-B467229BCDA2}">
    <text>Tick https://www.hwics.org.uk/application/files/7617/3141/3581/ICB_Cystoscopy_Commissioning_Policy_v1.2.pdf</text>
    <extLst>
      <x:ext xmlns:xltc2="http://schemas.microsoft.com/office/spreadsheetml/2020/threadedcomments2" uri="{F7C98A9C-CBB3-438F-8F68-D28B6AF4A901}">
        <xltc2:checksum>1682405271</xltc2:checksum>
        <xltc2:hyperlink startIndex="5" length="102" url="https://www.hwics.org.uk/application/files/7617/3141/3581/ICB_Cystoscopy_Commissioning_Policy_v1.2.pdf"/>
      </x:ext>
    </extLst>
  </threadedComment>
  <threadedComment ref="V39" dT="2025-06-22T21:21:27.04" personId="{95736710-EFA0-493C-AAE5-6E4C07E0F9AD}" id="{D42ECCB1-1CE6-455E-87FA-098D261F27CA}">
    <text>Tick https://humberandnorthyorkshire.icb.nhs.uk/wp-content/uploads/2025/04/101-Cystoscopy-for-men-with-lower-urinary-tract-symptoms.docx</text>
    <extLst>
      <x:ext xmlns:xltc2="http://schemas.microsoft.com/office/spreadsheetml/2020/threadedcomments2" uri="{F7C98A9C-CBB3-438F-8F68-D28B6AF4A901}">
        <xltc2:checksum>3404235746</xltc2:checksum>
        <xltc2:hyperlink startIndex="5" length="131" url="https://humberandnorthyorkshire.icb.nhs.uk/wp-content/uploads/2025/04/101-Cystoscopy-for-men-with-lower-urinary-tract-symptoms.docx"/>
      </x:ext>
    </extLst>
  </threadedComment>
  <threadedComment ref="K41" dT="2025-06-18T10:44:19.63" personId="{95736710-EFA0-493C-AAE5-6E4C07E0F9AD}" id="{CC446E2E-2384-4FE6-9E2F-C6E996CA29C3}">
    <text>Should be a tick https://docs.cios.icb.nhs.uk/DocumentsLibrary/NHSCornwallAndIslesOfScilly/Services/IndividualFundingRequests/CommissioningPolicies.pdf</text>
    <extLst>
      <x:ext xmlns:xltc2="http://schemas.microsoft.com/office/spreadsheetml/2020/threadedcomments2" uri="{F7C98A9C-CBB3-438F-8F68-D28B6AF4A901}">
        <xltc2:checksum>2660701510</xltc2:checksum>
        <xltc2:hyperlink startIndex="17" length="134" url="https://docs.cios.icb.nhs.uk/DocumentsLibrary/NHSCornwallAndIslesOfScilly/Services/IndividualFundingRequests/CommissioningPolicies.pdf"/>
      </x:ext>
    </extLst>
  </threadedComment>
  <threadedComment ref="K41" dT="2025-06-28T12:57:15.60" personId="{95736710-EFA0-493C-AAE5-6E4C07E0F9AD}" id="{07A5185D-C30F-45FD-A05A-FAD189D92883}" parentId="{CC446E2E-2384-4FE6-9E2F-C6E996CA29C3}">
    <text>“This guidance recommends: 1. Medial branch blocks (a spinal injection) CAN be used diagnostically for patients with isolated lower back pain who have not responded to rehabilitation. ”</text>
  </threadedComment>
  <threadedComment ref="M41" dT="2025-06-18T12:23:49.74" personId="{95736710-EFA0-493C-AAE5-6E4C07E0F9AD}" id="{B8C82022-3220-4015-8AA8-9E1410402F5F}">
    <text>Criteria based https://www.derbyshiremedicinesmanagement.nhs.uk/assets/Clinical-Policies/Clinical_Policies/PLCV/urology/Cystoscopy_for_uncomplicated_lower_urinary_tract_symptoms.pdf</text>
    <extLst>
      <x:ext xmlns:xltc2="http://schemas.microsoft.com/office/spreadsheetml/2020/threadedcomments2" uri="{F7C98A9C-CBB3-438F-8F68-D28B6AF4A901}">
        <xltc2:checksum>872386684</xltc2:checksum>
        <xltc2:hyperlink startIndex="15" length="166" url="https://www.derbyshiremedicinesmanagement.nhs.uk/assets/Clinical-Policies/Clinical_Policies/PLCV/urology/Cystoscopy_for_uncomplicated_lower_urinary_tract_symptoms.pdf"/>
      </x:ext>
    </extLst>
  </threadedComment>
  <threadedComment ref="AB41" dT="2025-06-27T11:23:09.13" personId="{95736710-EFA0-493C-AAE5-6E4C07E0F9AD}" id="{CCF0FD1B-1CD7-40F7-BADD-F6A223594260}">
    <text>Tick “A diagnostic medial branch or intra-articular block, (facet joint injection) provided under a standard protocol, ” https://nwknowledgenow.nhs.uk/content/facet-joint-pain-suspected/</text>
    <extLst>
      <x:ext xmlns:xltc2="http://schemas.microsoft.com/office/spreadsheetml/2020/threadedcomments2" uri="{F7C98A9C-CBB3-438F-8F68-D28B6AF4A901}">
        <xltc2:checksum>807767922</xltc2:checksum>
        <xltc2:hyperlink startIndex="121" length="65" url="https://nwknowledgenow.nhs.uk/content/facet-joint-pain-suspected/"/>
      </x:ext>
    </extLst>
  </threadedComment>
  <threadedComment ref="AB41" dT="2025-06-27T11:32:49.18" personId="{95736710-EFA0-493C-AAE5-6E4C07E0F9AD}" id="{D3CA1548-1A6E-4352-BD93-32DCF9670CD0}" parentId="{CCF0FD1B-1CD7-40F7-BADD-F6A223594260}">
    <text>Also tick - https://nwknowledgenow.nhs.uk/content/sacro-iliac-injections/</text>
    <extLst>
      <x:ext xmlns:xltc2="http://schemas.microsoft.com/office/spreadsheetml/2020/threadedcomments2" uri="{F7C98A9C-CBB3-438F-8F68-D28B6AF4A901}">
        <xltc2:checksum>1864608318</xltc2:checksum>
        <xltc2:hyperlink startIndex="12" length="61" url="https://nwknowledgenow.nhs.uk/content/sacro-iliac-injections/"/>
      </x:ext>
    </extLst>
  </threadedComment>
  <threadedComment ref="M42" dT="2025-06-18T12:25:58.24" personId="{95736710-EFA0-493C-AAE5-6E4C07E0F9AD}" id="{715DAADD-3592-4DD4-9BF6-F820B547E70F}">
    <text>IFR https://www.derbyshiremedicinesmanagement.nhs.uk/assets/Clinical-Policies/Clinical_Policies/PLCV/general_surgery/Surgery_for_Diastasis_of_Recti%20.pdf</text>
    <extLst>
      <x:ext xmlns:xltc2="http://schemas.microsoft.com/office/spreadsheetml/2020/threadedcomments2" uri="{F7C98A9C-CBB3-438F-8F68-D28B6AF4A901}">
        <xltc2:checksum>4262952937</xltc2:checksum>
        <xltc2:hyperlink startIndex="4" length="150" url="https://www.derbyshiremedicinesmanagement.nhs.uk/assets/Clinical-Policies/Clinical_Policies/PLCV/general_surgery/Surgery_for_Diastasis_of_Recti%20.pdf"/>
      </x:ext>
    </extLst>
  </threadedComment>
  <threadedComment ref="T42" dT="2025-06-22T18:52:43.12" personId="{95736710-EFA0-493C-AAE5-6E4C07E0F9AD}" id="{88179B65-2225-4191-9765-502DD09A3BB4}">
    <text>Unable to find ref</text>
  </threadedComment>
  <threadedComment ref="V42" dT="2025-06-22T20:51:21.39" personId="{95736710-EFA0-493C-AAE5-6E4C07E0F9AD}" id="{2E9EA05B-62EB-4738-A916-2E3CC93D2C97}">
    <text>Tick https://humberandnorthyorkshire.icb.nhs.uk/wp-content/uploads/2024/12/Abdominoplasty-including-repair-of-Diastasis-Recti-and-Apronectomy.docx</text>
    <extLst>
      <x:ext xmlns:xltc2="http://schemas.microsoft.com/office/spreadsheetml/2020/threadedcomments2" uri="{F7C98A9C-CBB3-438F-8F68-D28B6AF4A901}">
        <xltc2:checksum>1828890871</xltc2:checksum>
        <xltc2:hyperlink startIndex="5" length="141" url="https://humberandnorthyorkshire.icb.nhs.uk/wp-content/uploads/2024/12/Abdominoplasty-including-repair-of-Diastasis-Recti-and-Apronectomy.docx"/>
      </x:ext>
    </extLst>
  </threadedComment>
  <threadedComment ref="X42" dT="2025-06-27T09:16:44.85" personId="{95736710-EFA0-493C-AAE5-6E4C07E0F9AD}" id="{95ACAEA9-9268-4587-BA72-71B6EDE4909D}">
    <text>IFR - https://www.healthierlsc.co.uk/application/files/4816/8487/3599/LSCICB_Clin43_Policy_for_Cosmetic_Procedures_v3.2.pdf</text>
    <extLst>
      <x:ext xmlns:xltc2="http://schemas.microsoft.com/office/spreadsheetml/2020/threadedcomments2" uri="{F7C98A9C-CBB3-438F-8F68-D28B6AF4A901}">
        <xltc2:checksum>2426080245</xltc2:checksum>
        <xltc2:hyperlink startIndex="6" length="117" url="https://www.healthierlsc.co.uk/application/files/4816/8487/3599/LSCICB_Clin43_Policy_for_Cosmetic_Procedures_v3.2.pdf"/>
      </x:ext>
    </extLst>
  </threadedComment>
  <threadedComment ref="Z42" dT="2025-06-22T22:18:09.19" personId="{95736710-EFA0-493C-AAE5-6E4C07E0F9AD}" id="{DBBD5FD9-CBEE-44FA-AFDB-E51497C6284F}">
    <text>IFR https://lincolnshire.icb.nhs.uk/~documents/icb-publications/our-policies-and-procedures/clinical-governance/cg-003-prior-approval-policy/?layout=file</text>
    <extLst>
      <x:ext xmlns:xltc2="http://schemas.microsoft.com/office/spreadsheetml/2020/threadedcomments2" uri="{F7C98A9C-CBB3-438F-8F68-D28B6AF4A901}">
        <xltc2:checksum>2675990717</xltc2:checksum>
        <xltc2:hyperlink startIndex="4" length="149" url="https://lincolnshire.icb.nhs.uk/~documents/icb-publications/our-policies-and-procedures/clinical-governance/cg-003-prior-approval-policy/?layout=file"/>
      </x:ext>
    </extLst>
  </threadedComment>
  <threadedComment ref="AI42" dT="2025-06-26T20:11:02.85" personId="{95736710-EFA0-493C-AAE5-6E4C07E0F9AD}" id="{19441002-6363-4E85-9EA0-D9DC49D236C3}">
    <text xml:space="preserve">IFR - Surgery for the repair of Divarication of Recti is not funded. </text>
  </threadedComment>
  <threadedComment ref="AL42" dT="2025-06-26T21:20:51.20" personId="{95736710-EFA0-493C-AAE5-6E4C07E0F9AD}" id="{8555F37C-E283-45A9-BFA3-45EB1BC8163D}">
    <text>IFR - PATIENTS WITH DIVARICATION OF THE RECTI SHOULD NOT BE REFERRED FOR SURGICAL OPINION https://syics.co.uk/application/files/5916/8017/2095/FINAL_EBI_CFO_v.24_Final_27_March_2023.pdf</text>
    <extLst>
      <x:ext xmlns:xltc2="http://schemas.microsoft.com/office/spreadsheetml/2020/threadedcomments2" uri="{F7C98A9C-CBB3-438F-8F68-D28B6AF4A901}">
        <xltc2:checksum>983946512</xltc2:checksum>
        <xltc2:hyperlink startIndex="90" length="95" url="https://syics.co.uk/application/files/5916/8017/2095/FINAL_EBI_CFO_v.24_Final_27_March_2023.pdf"/>
      </x:ext>
    </extLst>
  </threadedComment>
  <threadedComment ref="L43" dT="2025-06-18T11:38:44.75" personId="{95736710-EFA0-493C-AAE5-6E4C07E0F9AD}" id="{EDDB1904-0D3C-4178-A3E7-593E9CF1B3E9}">
    <text>Unable to find</text>
  </threadedComment>
  <threadedComment ref="T43" dT="2025-06-22T18:53:21.79" personId="{95736710-EFA0-493C-AAE5-6E4C07E0F9AD}" id="{96739E88-53F2-47AF-9CA5-8540FDCCE199}">
    <text>https://www.hwics.org.uk/application/files/4417/3210/9783/ICB_Hysterectomy_for_HMB_Commissioning_Policy_V2.1_final.pdf IFR</text>
    <extLst>
      <x:ext xmlns:xltc2="http://schemas.microsoft.com/office/spreadsheetml/2020/threadedcomments2" uri="{F7C98A9C-CBB3-438F-8F68-D28B6AF4A901}">
        <xltc2:checksum>407922841</xltc2:checksum>
        <xltc2:hyperlink startIndex="0" length="118" url="https://www.hwics.org.uk/application/files/4417/3210/9783/ICB_Hysterectomy_for_HMB_Commissioning_Policy_V2.1_final.pdf"/>
      </x:ext>
    </extLst>
  </threadedComment>
  <threadedComment ref="T43" dT="2025-06-22T18:53:49.02" personId="{95736710-EFA0-493C-AAE5-6E4C07E0F9AD}" id="{EAB35E75-1860-435C-B9C2-B533BFAAAEF8}" parentId="{96739E88-53F2-47AF-9CA5-8540FDCCE199}">
    <text>“Dilatation and curettage is not commissioned for heavy menstrual bleeding. ”</text>
  </threadedComment>
  <threadedComment ref="AP43" dT="2025-06-26T23:30:45.99" personId="{95736710-EFA0-493C-AAE5-6E4C07E0F9AD}" id="{0BE30684-995F-4F47-8C96-FCB0AEC2D744}">
    <text>IFR - D&amp;C should not be used for diagnosis or treatment for heavy menstrual bleeding in women because it is clinically ineffective. https://int.sussex.ics.nhs.uk/clinical_documents/sussex-cec-clinical-policy/</text>
    <extLst>
      <x:ext xmlns:xltc2="http://schemas.microsoft.com/office/spreadsheetml/2020/threadedcomments2" uri="{F7C98A9C-CBB3-438F-8F68-D28B6AF4A901}">
        <xltc2:checksum>2755537915</xltc2:checksum>
        <xltc2:hyperlink startIndex="132" length="76" url="https://int.sussex.ics.nhs.uk/clinical_documents/sussex-cec-clinical-policy/"/>
      </x:ext>
    </extLst>
  </threadedComment>
  <threadedComment ref="T44" dT="2025-06-22T18:01:17.65" personId="{95736710-EFA0-493C-AAE5-6E4C07E0F9AD}" id="{616C7529-2931-4159-ABB0-13D043968D48}">
    <text>Tick https://www.hwics.org.uk/application/files/2217/3694/3182/ICB_Primary_Care_Osteoporosis_Guidance_v2.0.pdf</text>
    <extLst>
      <x:ext xmlns:xltc2="http://schemas.microsoft.com/office/spreadsheetml/2020/threadedcomments2" uri="{F7C98A9C-CBB3-438F-8F68-D28B6AF4A901}">
        <xltc2:checksum>3657146955</xltc2:checksum>
        <xltc2:hyperlink startIndex="5" length="105" url="https://www.hwics.org.uk/application/files/2217/3694/3182/ICB_Primary_Care_Osteoporosis_Guidance_v2.0.pdf"/>
      </x:ext>
    </extLst>
  </threadedComment>
  <threadedComment ref="B45" dT="2025-05-31T21:31:25.60" personId="{95736710-EFA0-493C-AAE5-6E4C07E0F9AD}" id="{E86AE0F9-157B-46EF-92EE-B58AD20724B5}">
    <text>Described as “not routinely funded” - so would be N/A, or IFR?</text>
  </threadedComment>
  <threadedComment ref="E45" dT="2025-06-11T18:48:43.55" personId="{95736710-EFA0-493C-AAE5-6E4C07E0F9AD}" id="{AF635975-1376-4E70-9E9D-932A9DEBED2E}">
    <text>Named but not recommended https://www.birminghamsolihull.icb.nhs.uk/application/files/4016/4863/7471/Policy_for_Low_Back_Pain_and_Radicular_Pain.pdf</text>
    <extLst>
      <x:ext xmlns:xltc2="http://schemas.microsoft.com/office/spreadsheetml/2020/threadedcomments2" uri="{F7C98A9C-CBB3-438F-8F68-D28B6AF4A901}">
        <xltc2:checksum>600609874</xltc2:checksum>
        <xltc2:hyperlink startIndex="26" length="122" url="https://www.birminghamsolihull.icb.nhs.uk/application/files/4016/4863/7471/Policy_for_Low_Back_Pain_and_Radicular_Pain.pdf"/>
      </x:ext>
    </extLst>
  </threadedComment>
  <threadedComment ref="H45" dT="2025-06-17T16:58:04.51" personId="{95736710-EFA0-493C-AAE5-6E4C07E0F9AD}" id="{EEB0D35F-3CEB-4F48-B130-9CE9115DF78B}">
    <text>IFR https://www.bucksoxonberksw.icb.nhs.uk/media/4176/bobfpc52-management-of-low-back-pain-and-sciatica.pdf</text>
    <extLst>
      <x:ext xmlns:xltc2="http://schemas.microsoft.com/office/spreadsheetml/2020/threadedcomments2" uri="{F7C98A9C-CBB3-438F-8F68-D28B6AF4A901}">
        <xltc2:checksum>1653512148</xltc2:checksum>
        <xltc2:hyperlink startIndex="4" length="103" url="https://www.bucksoxonberksw.icb.nhs.uk/media/4176/bobfpc52-management-of-low-back-pain-and-sciatica.pdf"/>
      </x:ext>
    </extLst>
  </threadedComment>
  <threadedComment ref="I45" dT="2025-06-17T21:45:20.91" personId="{95736710-EFA0-493C-AAE5-6E4C07E0F9AD}" id="{B8A4B145-9FDE-4F19-979F-DF45222C27F3}">
    <text>https://www.cpics.org.uk/clinical-policies/ IFR not funded - low back pain</text>
    <extLst>
      <x:ext xmlns:xltc2="http://schemas.microsoft.com/office/spreadsheetml/2020/threadedcomments2" uri="{F7C98A9C-CBB3-438F-8F68-D28B6AF4A901}">
        <xltc2:checksum>3791940236</xltc2:checksum>
        <xltc2:hyperlink startIndex="0" length="43" url="https://www.cpics.org.uk/clinical-policies/"/>
      </x:ext>
    </extLst>
  </threadedComment>
  <threadedComment ref="Q45" dT="2025-06-18T17:07:47.46" personId="{95736710-EFA0-493C-AAE5-6E4C07E0F9AD}" id="{FC1607DC-D87D-4AA0-9F3A-1E21495F0A25}">
    <text>IFR https://www.nhsglos.nhs.uk/wp-content/uploads/2024/06/Management-of-non-specific-lumbar-back-pain-and-or-radicular-pain-sciatica-in-patients-over-16-years-of-age.pdf</text>
    <extLst>
      <x:ext xmlns:xltc2="http://schemas.microsoft.com/office/spreadsheetml/2020/threadedcomments2" uri="{F7C98A9C-CBB3-438F-8F68-D28B6AF4A901}">
        <xltc2:checksum>3882114486</xltc2:checksum>
        <xltc2:hyperlink startIndex="4" length="165" url="https://www.nhsglos.nhs.uk/wp-content/uploads/2024/06/Management-of-non-specific-lumbar-back-pain-and-or-radicular-pain-sciatica-in-patients-over-16-years-of-age.pdf"/>
      </x:ext>
    </extLst>
  </threadedComment>
  <threadedComment ref="T45" dT="2025-06-22T18:14:49.69" personId="{95736710-EFA0-493C-AAE5-6E4C07E0F9AD}" id="{DDD7F97B-75EF-4A43-BA7D-4E5875C29234}">
    <text>IFR https://www.hwics.org.uk/application/files/2117/0904/4510/ICB_MSK_Surgery_and_Therapy_V1.5_Final_6.pdf</text>
    <extLst>
      <x:ext xmlns:xltc2="http://schemas.microsoft.com/office/spreadsheetml/2020/threadedcomments2" uri="{F7C98A9C-CBB3-438F-8F68-D28B6AF4A901}">
        <xltc2:checksum>4080446901</xltc2:checksum>
        <xltc2:hyperlink startIndex="4" length="102" url="https://www.hwics.org.uk/application/files/2117/0904/4510/ICB_MSK_Surgery_and_Therapy_V1.5_Final_6.pdf"/>
      </x:ext>
    </extLst>
  </threadedComment>
  <threadedComment ref="Y45" dT="2025-06-27T09:52:07.75" personId="{95736710-EFA0-493C-AAE5-6E4C07E0F9AD}" id="{55AF9094-D461-4184-AD28-275BB965B510}">
    <text>IFR https://leicesterleicestershireandrutland.icb.nhs.uk/llr-policy-for-surgical-intervention-for-low-back-pain/</text>
    <extLst>
      <x:ext xmlns:xltc2="http://schemas.microsoft.com/office/spreadsheetml/2020/threadedcomments2" uri="{F7C98A9C-CBB3-438F-8F68-D28B6AF4A901}">
        <xltc2:checksum>2096764371</xltc2:checksum>
        <xltc2:hyperlink startIndex="4" length="108" url="https://leicesterleicestershireandrutland.icb.nhs.uk/llr-policy-for-surgical-intervention-for-low-back-pain/"/>
      </x:ext>
    </extLst>
  </threadedComment>
  <threadedComment ref="AB45" dT="2025-06-27T11:28:46.29" personId="{95736710-EFA0-493C-AAE5-6E4C07E0F9AD}" id="{CF558CC9-02A3-43D2-9F77-005399363C60}">
    <text>IFR https://nwknowledgenow.nhs.uk/content/low-back-pain-other-procedures/</text>
    <extLst>
      <x:ext xmlns:xltc2="http://schemas.microsoft.com/office/spreadsheetml/2020/threadedcomments2" uri="{F7C98A9C-CBB3-438F-8F68-D28B6AF4A901}">
        <xltc2:checksum>743146242</xltc2:checksum>
        <xltc2:hyperlink startIndex="4" length="69" url="https://nwknowledgenow.nhs.uk/content/low-back-pain-other-procedures/"/>
      </x:ext>
    </extLst>
  </threadedComment>
  <threadedComment ref="AF45" dT="2025-06-27T21:40:54.85" personId="{95736710-EFA0-493C-AAE5-6E4C07E0F9AD}" id="{61135C52-07AD-4346-BDC1-3B86DCB46567}">
    <text>IFR https://www.nwlondonicb.nhs.uk/application/files/7416/7664/3313/Low_Back_Pain_and_Sciatica_Policy_v7.pdf</text>
    <extLst>
      <x:ext xmlns:xltc2="http://schemas.microsoft.com/office/spreadsheetml/2020/threadedcomments2" uri="{F7C98A9C-CBB3-438F-8F68-D28B6AF4A901}">
        <xltc2:checksum>582769305</xltc2:checksum>
        <xltc2:hyperlink startIndex="4" length="104" url="https://www.nwlondonicb.nhs.uk/application/files/7416/7664/3313/Low_Back_Pain_and_Sciatica_Policy_v7.pdf"/>
      </x:ext>
    </extLst>
  </threadedComment>
  <threadedComment ref="AI45" dT="2025-06-26T20:11:37.36" personId="{95736710-EFA0-493C-AAE5-6E4C07E0F9AD}" id="{0874B328-E380-4A44-B50A-D4452AEA332A}">
    <text xml:space="preserve">• Disc replacement in people with low back pain  - IFR </text>
  </threadedComment>
  <threadedComment ref="AM45" dT="2025-06-26T22:15:39.58" personId="{95736710-EFA0-493C-AAE5-6E4C07E0F9AD}" id="{0E4C8720-2A17-4292-808B-22E00D9CFD5B}">
    <text>IFR - “Disc replacement will not routinely be funded for patients with non-specific low back pain ”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2598698933</xltc2:checksum>
        <xltc2:hyperlink startIndex="100" length="189" url="https://staffsstoke.icb.nhs.uk/your-nhs-integrated-care-board/our-publications/governance-handbook/all-policies/commissioning/icb-excluded-and-restricted-procedures-policy-v3-1/?layout=file"/>
      </x:ext>
    </extLst>
  </threadedComment>
  <threadedComment ref="K46" dT="2025-06-18T10:54:22.85" personId="{95736710-EFA0-493C-AAE5-6E4C07E0F9AD}" id="{D0A41A79-E4D7-4A70-ABFB-282AE32BD0BE}">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S46" dT="2025-06-18T21:44:05.47" personId="{95736710-EFA0-493C-AAE5-6E4C07E0F9AD}" id="{04EE37B5-ACE4-4DBE-82E8-9E5D0690F318}">
    <text>Not funded https://fundingrequests.scwcsu.nhs.uk/wp-content/uploads/2021/10/Policy-60-Spinal-pain-v2.0.pdf</text>
    <extLst>
      <x:ext xmlns:xltc2="http://schemas.microsoft.com/office/spreadsheetml/2020/threadedcomments2" uri="{F7C98A9C-CBB3-438F-8F68-D28B6AF4A901}">
        <xltc2:checksum>3574586888</xltc2:checksum>
        <xltc2:hyperlink startIndex="11" length="95" url="https://fundingrequests.scwcsu.nhs.uk/wp-content/uploads/2021/10/Policy-60-Spinal-pain-v2.0.pdf"/>
      </x:ext>
    </extLst>
  </threadedComment>
  <threadedComment ref="T47" dT="2025-06-22T17:58:58.23" personId="{95736710-EFA0-493C-AAE5-6E4C07E0F9AD}" id="{D5C2AFA3-3219-4884-9E5B-A5613C98FA01}">
    <text>Tick https://www.hwics.org.uk/application/files/7817/4306/4128/ICB_Non_Invasive_Ventiliation_Position_Statement_v1.4.pdf</text>
    <extLst>
      <x:ext xmlns:xltc2="http://schemas.microsoft.com/office/spreadsheetml/2020/threadedcomments2" uri="{F7C98A9C-CBB3-438F-8F68-D28B6AF4A901}">
        <xltc2:checksum>3432227849</xltc2:checksum>
        <xltc2:hyperlink startIndex="5" length="115" url="https://www.hwics.org.uk/application/files/7817/4306/4128/ICB_Non_Invasive_Ventiliation_Position_Statement_v1.4.pdf"/>
      </x:ext>
    </extLst>
  </threadedComment>
  <threadedComment ref="Y48" dT="2025-06-27T09:44:11.61" personId="{95736710-EFA0-493C-AAE5-6E4C07E0F9AD}" id="{422C65B5-2ABA-419E-BA27-21F7D1FBCA7D}">
    <text>Cannot find policy https://leicesterleicestershireandrutland.icb.nhs.uk/your-health/healthcare-and-treatment-policies/</text>
    <extLst>
      <x:ext xmlns:xltc2="http://schemas.microsoft.com/office/spreadsheetml/2020/threadedcomments2" uri="{F7C98A9C-CBB3-438F-8F68-D28B6AF4A901}">
        <xltc2:checksum>3327699311</xltc2:checksum>
        <xltc2:hyperlink startIndex="19" length="99" url="https://leicesterleicestershireandrutland.icb.nhs.uk/your-health/healthcare-and-treatment-policies/"/>
      </x:ext>
    </extLst>
  </threadedComment>
  <threadedComment ref="J49" dT="2025-06-17T22:46:09.41" personId="{95736710-EFA0-493C-AAE5-6E4C07E0F9AD}" id="{01379503-9257-4E0A-BEA4-5E7B568D12CB}">
    <text>https://www.cheshireandmerseyside.nhs.uk/media/difo11i1/pol-clin057-interim-policy-ear-wax-removal-secondary-care-referral-final-v04.pdf IFR</text>
    <extLst>
      <x:ext xmlns:xltc2="http://schemas.microsoft.com/office/spreadsheetml/2020/threadedcomments2" uri="{F7C98A9C-CBB3-438F-8F68-D28B6AF4A901}">
        <xltc2:checksum>3865891358</xltc2:checksum>
        <xltc2:hyperlink startIndex="0" length="136" url="https://www.cheshireandmerseyside.nhs.uk/media/difo11i1/pol-clin057-interim-policy-ear-wax-removal-secondary-care-referral-final-v04.pdf"/>
      </x:ext>
    </extLst>
  </threadedComment>
  <threadedComment ref="T49" dT="2025-06-22T17:57:33.61" personId="{95736710-EFA0-493C-AAE5-6E4C07E0F9AD}" id="{A25D6805-DD96-46A1-9556-8A4F338C3E6D}">
    <text>https://www.hwics.org.uk/application/files/3817/1559/9701/Ear_Canal_Clearance_Guidance_v2.0-13052024.pdf tick</text>
    <extLst>
      <x:ext xmlns:xltc2="http://schemas.microsoft.com/office/spreadsheetml/2020/threadedcomments2" uri="{F7C98A9C-CBB3-438F-8F68-D28B6AF4A901}">
        <xltc2:checksum>2828296491</xltc2:checksum>
        <xltc2:hyperlink startIndex="0" length="104" url="https://www.hwics.org.uk/application/files/3817/1559/9701/Ear_Canal_Clearance_Guidance_v2.0-13052024.pdf"/>
      </x:ext>
    </extLst>
  </threadedComment>
  <threadedComment ref="V49" dT="2025-06-22T21:35:18.33" personId="{95736710-EFA0-493C-AAE5-6E4C07E0F9AD}" id="{828EB5DE-8474-4CAB-B6A4-4E8E45BF1F4B}">
    <text>IFR https://humberandnorthyorkshire.icb.nhs.uk/wp-content/uploads/2025/04/089-Irrigation-of-the-external-Auditory-Canal.docx</text>
    <extLst>
      <x:ext xmlns:xltc2="http://schemas.microsoft.com/office/spreadsheetml/2020/threadedcomments2" uri="{F7C98A9C-CBB3-438F-8F68-D28B6AF4A901}">
        <xltc2:checksum>2753737171</xltc2:checksum>
        <xltc2:hyperlink startIndex="4" length="120" url="https://humberandnorthyorkshire.icb.nhs.uk/wp-content/uploads/2025/04/089-Irrigation-of-the-external-Auditory-Canal.docx"/>
      </x:ext>
    </extLst>
  </threadedComment>
  <threadedComment ref="Z49" dT="2025-06-22T22:19:46.96" personId="{95736710-EFA0-493C-AAE5-6E4C07E0F9AD}" id="{18D8C314-03C0-4643-A593-DEC90755F337}">
    <text>Tick https://lincolnshire.icb.nhs.uk/~documents/icb-publications/our-policies-and-procedures/clinical-governance/cg-003-prior-approval-policy/?layout=file</text>
    <extLst>
      <x:ext xmlns:xltc2="http://schemas.microsoft.com/office/spreadsheetml/2020/threadedcomments2" uri="{F7C98A9C-CBB3-438F-8F68-D28B6AF4A901}">
        <xltc2:checksum>1517442531</xltc2:checksum>
        <xltc2:hyperlink startIndex="5" length="149" url="https://lincolnshire.icb.nhs.uk/~documents/icb-publications/our-policies-and-procedures/clinical-governance/cg-003-prior-approval-policy/?layout=file"/>
      </x:ext>
    </extLst>
  </threadedComment>
  <threadedComment ref="AG49" dT="2025-06-27T22:24:43.46" personId="{95736710-EFA0-493C-AAE5-6E4C07E0F9AD}" id="{98C82D1E-955D-4059-8D2E-039BDE155923}">
    <text>Tick https://www.icnorthamptonshire.org.uk/download.cfm?doc=docm93jijm4n19783&amp;ver=65862</text>
    <extLst>
      <x:ext xmlns:xltc2="http://schemas.microsoft.com/office/spreadsheetml/2020/threadedcomments2" uri="{F7C98A9C-CBB3-438F-8F68-D28B6AF4A901}">
        <xltc2:checksum>3553846352</xltc2:checksum>
        <xltc2:hyperlink startIndex="5" length="82" url="https://www.icnorthamptonshire.org.uk/download.cfm?doc=docm93jijm4n19783&amp;ver=65862"/>
      </x:ext>
    </extLst>
  </threadedComment>
  <threadedComment ref="AQ49" dT="2025-06-28T11:55:18.67" personId="{95736710-EFA0-493C-AAE5-6E4C07E0F9AD}" id="{3290EDC8-212E-4907-B49C-1E96385F3D6C}">
    <text>Tick https://www.wypartnership.co.uk/application/files/3917/4672/5401/WY_ICB_Ear_Wax_Removal_Policy_05.2025.pdf</text>
    <extLst>
      <x:ext xmlns:xltc2="http://schemas.microsoft.com/office/spreadsheetml/2020/threadedcomments2" uri="{F7C98A9C-CBB3-438F-8F68-D28B6AF4A901}">
        <xltc2:checksum>1097807048</xltc2:checksum>
        <xltc2:hyperlink startIndex="5" length="106" url="https://www.wypartnership.co.uk/application/files/3917/4672/5401/WY_ICB_Ear_Wax_Removal_Policy_05.2025.pdf"/>
      </x:ext>
    </extLst>
  </threadedComment>
  <threadedComment ref="F50" dT="2025-06-11T21:45:29.67" personId="{95736710-EFA0-493C-AAE5-6E4C07E0F9AD}" id="{BB0FDD9A-4970-4EBB-B135-1AC84094BEF1}">
    <text>Exercise ECG (Electrocardiogram) for screening for Coronary Heart Disease (CHD) - outpatients
Common test looking at how your heart works when you’re exercising, maybe used to find out if Coronary Heart Disease is present.
https://blackcountry.icb.nhs.uk/have-your-say/get-involved/current-consultations-and-engagement/clinical-policy-review2</text>
    <extLst>
      <x:ext xmlns:xltc2="http://schemas.microsoft.com/office/spreadsheetml/2020/threadedcomments2" uri="{F7C98A9C-CBB3-438F-8F68-D28B6AF4A901}">
        <xltc2:checksum>1287902889</xltc2:checksum>
        <xltc2:hyperlink startIndex="223" length="119" url="https://blackcountry.icb.nhs.uk/have-your-say/get-involved/current-consultations-and-engagement/clinical-policy-review2"/>
      </x:ext>
    </extLst>
  </threadedComment>
  <threadedComment ref="K50" dT="2025-06-18T10:55:24.47" personId="{95736710-EFA0-493C-AAE5-6E4C07E0F9AD}" id="{7AB67767-8228-4163-9FD5-B00DBC06C7CC}">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Z50" dT="2025-06-22T22:20:35.53" personId="{95736710-EFA0-493C-AAE5-6E4C07E0F9AD}" id="{8CF84F5D-D5FA-47E2-9327-E980B61BC7EB}">
    <text>Tick EBI https://lincolnshire.icb.nhs.uk/~documents/icb-publications/our-policies-and-procedures/clinical-governance/cg-003-prior-approval-policy/?layout=file</text>
    <extLst>
      <x:ext xmlns:xltc2="http://schemas.microsoft.com/office/spreadsheetml/2020/threadedcomments2" uri="{F7C98A9C-CBB3-438F-8F68-D28B6AF4A901}">
        <xltc2:checksum>1976123752</xltc2:checksum>
        <xltc2:hyperlink startIndex="9" length="149" url="https://lincolnshire.icb.nhs.uk/~documents/icb-publications/our-policies-and-procedures/clinical-governance/cg-003-prior-approval-policy/?layout=file"/>
      </x:ext>
    </extLst>
  </threadedComment>
  <threadedComment ref="AH50" dT="2025-06-26T19:24:18.13" personId="{95736710-EFA0-493C-AAE5-6E4C07E0F9AD}" id="{DD0144A7-C178-4C4C-88DE-0773F485290A}">
    <text xml:space="preserve">https://notts.icb.nhs.uk/wp-content/uploads/sites/2/2022/04/Value-Based-Commissioning-PolicyV1.4-2.pdf Exercise ECG for screening of coronary heart disease Category: (IFR / Prior Approval / Monitored Approval) Monitored Local or National EBI (Evidence Based Interventions) Policy: National EBI </text>
    <extLst>
      <x:ext xmlns:xltc2="http://schemas.microsoft.com/office/spreadsheetml/2020/threadedcomments2" uri="{F7C98A9C-CBB3-438F-8F68-D28B6AF4A901}">
        <xltc2:checksum>25199867</xltc2:checksum>
        <xltc2:hyperlink startIndex="0" length="102" url="https://notts.icb.nhs.uk/wp-content/uploads/sites/2/2022/04/Value-Based-Commissioning-PolicyV1.4-2.pdf"/>
      </x:ext>
    </extLst>
  </threadedComment>
  <threadedComment ref="F51" dT="2025-06-11T21:45:06.53" personId="{95736710-EFA0-493C-AAE5-6E4C07E0F9AD}" id="{9048F530-0B6E-4AC1-B54F-9F5A52B42779}">
    <text>https://blackcountry.icb.nhs.uk/have-your-say/get-involved/current-consultations-and-engagement/clinical-policy-review2 Pre-operative ECG part of EBI</text>
    <extLst>
      <x:ext xmlns:xltc2="http://schemas.microsoft.com/office/spreadsheetml/2020/threadedcomments2" uri="{F7C98A9C-CBB3-438F-8F68-D28B6AF4A901}">
        <xltc2:checksum>3350342213</xltc2:checksum>
        <xltc2:hyperlink startIndex="0" length="119" url="https://blackcountry.icb.nhs.uk/have-your-say/get-involved/current-consultations-and-engagement/clinical-policy-review2"/>
      </x:ext>
    </extLst>
  </threadedComment>
  <threadedComment ref="K51" dT="2025-06-18T10:56:01.35" personId="{95736710-EFA0-493C-AAE5-6E4C07E0F9AD}" id="{83E3D2BE-657C-44CD-8A25-82F1D7372588}">
    <text>Criteria https://docs.cios.icb.nhs.uk/DocumentsLibrary/NHSCornwallAndIslesOfScilly/Services/IndividualFundingRequests/CommissioningPolicies.pdf</text>
    <extLst>
      <x:ext xmlns:xltc2="http://schemas.microsoft.com/office/spreadsheetml/2020/threadedcomments2" uri="{F7C98A9C-CBB3-438F-8F68-D28B6AF4A901}">
        <xltc2:checksum>3369663680</xltc2:checksum>
        <xltc2:hyperlink startIndex="9" length="134" url="https://docs.cios.icb.nhs.uk/DocumentsLibrary/NHSCornwallAndIslesOfScilly/Services/IndividualFundingRequests/CommissioningPolicies.pdf"/>
      </x:ext>
    </extLst>
  </threadedComment>
  <threadedComment ref="T51" dT="2025-06-22T17:54:44.46" personId="{95736710-EFA0-493C-AAE5-6E4C07E0F9AD}" id="{9F268600-F96A-46E2-B124-C7D76AEE8FDB}">
    <text>https://www.hwics.org.uk/application/files/8217/4117/1631/ICB_Pre-op_Chest_X-ray__ECG_Position_Statement_v1.2_final.pdfhttps://www.hwics.org.uk/application/files/8217/4117/1631/ICB_Pre-op_Chest_X-ray__ECG_Position_Statement_v1.2_final.pdf tick</text>
    <extLst>
      <x:ext xmlns:xltc2="http://schemas.microsoft.com/office/spreadsheetml/2020/threadedcomments2" uri="{F7C98A9C-CBB3-438F-8F68-D28B6AF4A901}">
        <xltc2:checksum>593185054</xltc2:checksum>
        <xltc2:hyperlink startIndex="0" length="238" url="https://www.hwics.org.uk/application/files/8217/4117/1631/ICB_Pre-op_Chest_X-ray__ECG_Position_Statement_v1.2_final.pdfhttps://www.hwics.org.uk/application/files/8217/4117/1631/ICB_Pre-op_Chest_X-ray__ECG_Position_Statement_v1.2_final.pdf"/>
      </x:ext>
    </extLst>
  </threadedComment>
  <threadedComment ref="J52" dT="2025-06-18T09:55:40.13" personId="{95736710-EFA0-493C-AAE5-6E4C07E0F9AD}" id="{F09B5281-C4EB-49F4-902C-FF55C8B4C531}">
    <text>Should be a tick https://www.cheshireandmerseyside.nhs.uk/media/52yeoph3/pol-clin096-blephptosis-final-v03.pdf</text>
    <extLst>
      <x:ext xmlns:xltc2="http://schemas.microsoft.com/office/spreadsheetml/2020/threadedcomments2" uri="{F7C98A9C-CBB3-438F-8F68-D28B6AF4A901}">
        <xltc2:checksum>2349599573</xltc2:checksum>
        <xltc2:hyperlink startIndex="17" length="93" url="https://www.cheshireandmerseyside.nhs.uk/media/52yeoph3/pol-clin096-blephptosis-final-v03.pdf"/>
      </x:ext>
    </extLst>
  </threadedComment>
  <threadedComment ref="K52" dT="2025-06-18T10:56:20.77" personId="{95736710-EFA0-493C-AAE5-6E4C07E0F9AD}" id="{152628F8-B0B2-4359-921C-5DA81705B4C8}">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L52" dT="2025-06-18T11:40:46.28" personId="{95736710-EFA0-493C-AAE5-6E4C07E0F9AD}" id="{60EEA8B6-5BB2-4DAE-9A07-F2BC8DF61C8A}">
    <text>Tick https://www.happyhealthylives.uk/clientfiles/files/document_library/Treatments%20Designed%20to%20Improve%20Aesthetic%20Appearance%20Policy.pdf</text>
    <extLst>
      <x:ext xmlns:xltc2="http://schemas.microsoft.com/office/spreadsheetml/2020/threadedcomments2" uri="{F7C98A9C-CBB3-438F-8F68-D28B6AF4A901}">
        <xltc2:checksum>3512207740</xltc2:checksum>
        <xltc2:hyperlink startIndex="5" length="142" url="https://www.happyhealthylives.uk/clientfiles/files/document_library/Treatments%20Designed%20to%20Improve%20Aesthetic%20Appearance%20Policy.pdf"/>
      </x:ext>
    </extLst>
  </threadedComment>
  <threadedComment ref="M52" dT="2025-06-18T12:32:23.33" personId="{95736710-EFA0-493C-AAE5-6E4C07E0F9AD}" id="{9E736365-F234-4D05-99FB-064540FCB358}">
    <text>Tick https://www.derbyshiremedicinesmanagement.nhs.uk/assets/Clinical-Policies/Clinical_Policies/Cosmetic/cosmetic/Blepharoplasty.pdf</text>
    <extLst>
      <x:ext xmlns:xltc2="http://schemas.microsoft.com/office/spreadsheetml/2020/threadedcomments2" uri="{F7C98A9C-CBB3-438F-8F68-D28B6AF4A901}">
        <xltc2:checksum>2635670389</xltc2:checksum>
        <xltc2:hyperlink startIndex="5" length="128" url="https://www.derbyshiremedicinesmanagement.nhs.uk/assets/Clinical-Policies/Clinical_Policies/Cosmetic/cosmetic/Blepharoplasty.pdf"/>
      </x:ext>
    </extLst>
  </threadedComment>
  <threadedComment ref="N52" dT="2025-06-18T14:03:12.02" personId="{95736710-EFA0-493C-AAE5-6E4C07E0F9AD}" id="{A2593527-1FD5-4695-86B2-F08E2E05746A}">
    <text xml:space="preserve">Criteria based Blepharoplasty (Upper and Lower lid) including Brow Lift
</text>
    <extLst>
      <x:ext xmlns:xltc2="http://schemas.microsoft.com/office/spreadsheetml/2020/threadedcomments2" uri="{F7C98A9C-CBB3-438F-8F68-D28B6AF4A901}">
        <xltc2:checksum>1277500627</xltc2:checksum>
        <xltc2:hyperlink startIndex="15" length="56" url="https://onedevon.org.uk/download/blepharoplasty/?wpdmdl=7302&amp;refresh=6852c6cddefb21750255309"/>
      </x:ext>
    </extLst>
  </threadedComment>
  <threadedComment ref="V52" dT="2025-06-22T21:27:22.14" personId="{95736710-EFA0-493C-AAE5-6E4C07E0F9AD}" id="{AF1819DE-91CE-4E78-8CD3-E23637747D10}">
    <text>https://humberandnorthyorkshire.icb.nhs.uk/wp-content/uploads/2024/12/Eyelid-Surgery-Blepharoplasty.docx tick</text>
    <extLst>
      <x:ext xmlns:xltc2="http://schemas.microsoft.com/office/spreadsheetml/2020/threadedcomments2" uri="{F7C98A9C-CBB3-438F-8F68-D28B6AF4A901}">
        <xltc2:checksum>4170291404</xltc2:checksum>
        <xltc2:hyperlink startIndex="0" length="104" url="https://humberandnorthyorkshire.icb.nhs.uk/wp-content/uploads/2024/12/Eyelid-Surgery-Blepharoplasty.docx"/>
      </x:ext>
    </extLst>
  </threadedComment>
  <threadedComment ref="Y52" dT="2025-06-27T09:45:22.57" personId="{95736710-EFA0-493C-AAE5-6E4C07E0F9AD}" id="{CAB1D404-AF41-4B07-9481-21B337CEF21D}">
    <text>Under bleph policy - tick https://leicesterleicestershireandrutland.icb.nhs.uk/llr-policy-for-blepharoplasty/</text>
    <extLst>
      <x:ext xmlns:xltc2="http://schemas.microsoft.com/office/spreadsheetml/2020/threadedcomments2" uri="{F7C98A9C-CBB3-438F-8F68-D28B6AF4A901}">
        <xltc2:checksum>242132000</xltc2:checksum>
        <xltc2:hyperlink startIndex="26" length="83" url="https://leicesterleicestershireandrutland.icb.nhs.uk/llr-policy-for-blepharoplasty/"/>
      </x:ext>
    </extLst>
  </threadedComment>
  <threadedComment ref="Z52" dT="2025-06-22T22:21:29.27" personId="{95736710-EFA0-493C-AAE5-6E4C07E0F9AD}" id="{A33DB207-F254-44CB-8DED-584E434C6A1B}">
    <text>https://lincolnshire.icb.nhs.uk/~documents/icb-publications/our-policies-and-procedures/clinical-governance/cg-003-prior-approval-policy/?layout=file tick</text>
    <extLst>
      <x:ext xmlns:xltc2="http://schemas.microsoft.com/office/spreadsheetml/2020/threadedcomments2" uri="{F7C98A9C-CBB3-438F-8F68-D28B6AF4A901}">
        <xltc2:checksum>1501215116</xltc2:checksum>
        <xltc2:hyperlink startIndex="0" length="149" url="https://lincolnshire.icb.nhs.uk/~documents/icb-publications/our-policies-and-procedures/clinical-governance/cg-003-prior-approval-policy/?layout=file"/>
      </x:ext>
    </extLst>
  </threadedComment>
  <threadedComment ref="AB52" dT="2025-06-27T11:20:26.96" personId="{95736710-EFA0-493C-AAE5-6E4C07E0F9AD}" id="{E2DCAFF8-895F-4F98-A4F5-1DFBBAD2DEAE}">
    <text>Tick https://nwknowledgenow.nhs.uk/content/eyelid-surgery/</text>
    <extLst>
      <x:ext xmlns:xltc2="http://schemas.microsoft.com/office/spreadsheetml/2020/threadedcomments2" uri="{F7C98A9C-CBB3-438F-8F68-D28B6AF4A901}">
        <xltc2:checksum>2947524665</xltc2:checksum>
        <xltc2:hyperlink startIndex="5" length="53" url="https://nwknowledgenow.nhs.uk/content/eyelid-surgery/"/>
      </x:ext>
    </extLst>
  </threadedComment>
  <threadedComment ref="AF52" dT="2025-06-27T21:21:54.30" personId="{95736710-EFA0-493C-AAE5-6E4C07E0F9AD}" id="{E6CA4248-9E75-40AD-9250-B0635FE3E920}">
    <text>Routinely provided under contract https://www.nwlondonicb.nhs.uk/application/files/6216/7664/3303/Blepharoplasty_v7.pdf</text>
    <extLst>
      <x:ext xmlns:xltc2="http://schemas.microsoft.com/office/spreadsheetml/2020/threadedcomments2" uri="{F7C98A9C-CBB3-438F-8F68-D28B6AF4A901}">
        <xltc2:checksum>3957932622</xltc2:checksum>
        <xltc2:hyperlink startIndex="34" length="85" url="https://www.nwlondonicb.nhs.uk/application/files/6216/7664/3303/Blepharoplasty_v7.pdf"/>
      </x:ext>
    </extLst>
  </threadedComment>
  <threadedComment ref="AM52" dT="2025-06-26T22:17:30.28" personId="{95736710-EFA0-493C-AAE5-6E4C07E0F9AD}" id="{4EA74D3C-A0D8-4842-837D-252C20E19B62}">
    <text>Tick - Blepharoplasty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2022374482</xltc2:checksum>
        <xltc2:hyperlink startIndex="22" length="189" url="https://staffsstoke.icb.nhs.uk/your-nhs-integrated-care-board/our-publications/governance-handbook/all-policies/commissioning/icb-excluded-and-restricted-procedures-policy-v3-1/?layout=file"/>
      </x:ext>
    </extLst>
  </threadedComment>
  <threadedComment ref="AO52" dT="2025-06-28T10:54:49.52" personId="{95736710-EFA0-493C-AAE5-6E4C07E0F9AD}" id="{ED6C282B-5EB8-429D-B988-4EBA97A85EE6}">
    <text>Covered in blepharopplasty policy https://www.surreyheartlands.org/tnrf2-ophthalmology</text>
    <extLst>
      <x:ext xmlns:xltc2="http://schemas.microsoft.com/office/spreadsheetml/2020/threadedcomments2" uri="{F7C98A9C-CBB3-438F-8F68-D28B6AF4A901}">
        <xltc2:checksum>275529628</xltc2:checksum>
        <xltc2:hyperlink startIndex="34" length="52" url="https://www.surreyheartlands.org/tnrf2-ophthalmology"/>
      </x:ext>
    </extLst>
  </threadedComment>
  <threadedComment ref="AP52" dT="2025-06-26T23:32:07.59" personId="{95736710-EFA0-493C-AAE5-6E4C07E0F9AD}" id="{55FEFB15-4456-42C0-921E-D0E9DC09105A}">
    <text>Tick “Please note NHS Sussex supports the correction of ectropion and entropion where clinically indicated.” https://int.sussex.ics.nhs.uk/clinical_documents/sussex-cec-clinical-policy/</text>
    <extLst>
      <x:ext xmlns:xltc2="http://schemas.microsoft.com/office/spreadsheetml/2020/threadedcomments2" uri="{F7C98A9C-CBB3-438F-8F68-D28B6AF4A901}">
        <xltc2:checksum>617507440</xltc2:checksum>
        <xltc2:hyperlink startIndex="109" length="76" url="https://int.sussex.ics.nhs.uk/clinical_documents/sussex-cec-clinical-policy/"/>
      </x:ext>
    </extLst>
  </threadedComment>
  <threadedComment ref="B53" dT="2025-05-31T21:38:39.10" personId="{95736710-EFA0-493C-AAE5-6E4C07E0F9AD}" id="{C2D6CC7B-DBF1-4476-B808-D6BDD7249E02}">
    <text>Described as “not routinely funded” - IFR or N/A?</text>
  </threadedComment>
  <threadedComment ref="AA53" dT="2025-06-27T10:21:40.38" personId="{95736710-EFA0-493C-AAE5-6E4C07E0F9AD}" id="{39A0D11B-62CF-40BE-BCFD-DA63FC9DCCBF}">
    <text>IFR https://www.midandsouthessex.ics.nhs.uk/publications/srp-043-endoscopic-laser-electrothermal-spinal-surgery/</text>
    <extLst>
      <x:ext xmlns:xltc2="http://schemas.microsoft.com/office/spreadsheetml/2020/threadedcomments2" uri="{F7C98A9C-CBB3-438F-8F68-D28B6AF4A901}">
        <xltc2:checksum>1945443319</xltc2:checksum>
        <xltc2:hyperlink startIndex="4" length="108" url="https://www.midandsouthessex.ics.nhs.uk/publications/srp-043-endoscopic-laser-electrothermal-spinal-surgery/"/>
      </x:ext>
    </extLst>
  </threadedComment>
  <threadedComment ref="AB53" dT="2025-06-27T11:28:46.29" personId="{95736710-EFA0-493C-AAE5-6E4C07E0F9AD}" id="{86B7C64D-35CE-4548-A89E-6EBB70952B8C}">
    <text>IFR https://nwknowledgenow.nhs.uk/content/low-back-pain-other-procedures/</text>
    <extLst>
      <x:ext xmlns:xltc2="http://schemas.microsoft.com/office/spreadsheetml/2020/threadedcomments2" uri="{F7C98A9C-CBB3-438F-8F68-D28B6AF4A901}">
        <xltc2:checksum>743146242</xltc2:checksum>
        <xltc2:hyperlink startIndex="4" length="69" url="https://nwknowledgenow.nhs.uk/content/low-back-pain-other-procedures/"/>
      </x:ext>
    </extLst>
  </threadedComment>
  <threadedComment ref="AN53" dT="2025-06-28T09:36:50.75" personId="{95736710-EFA0-493C-AAE5-6E4C07E0F9AD}" id="{7C07674A-E282-4801-88A0-F7C1F17D0BD5}">
    <text>IFR “Therapeutic endoscopic division of epidural adhesions” https://suffolkandnortheastessex.icb.nhs.uk/about-us/our-policies/</text>
    <extLst>
      <x:ext xmlns:xltc2="http://schemas.microsoft.com/office/spreadsheetml/2020/threadedcomments2" uri="{F7C98A9C-CBB3-438F-8F68-D28B6AF4A901}">
        <xltc2:checksum>3277080796</xltc2:checksum>
        <xltc2:hyperlink startIndex="60" length="66" url="https://suffolkandnortheastessex.icb.nhs.uk/about-us/our-policies/"/>
      </x:ext>
    </extLst>
  </threadedComment>
  <threadedComment ref="R54" dT="2025-06-18T19:38:07.98" personId="{95736710-EFA0-493C-AAE5-6E4C07E0F9AD}" id="{D1F4CAFC-58C6-469F-BD97-D17E54F5ADEF}">
    <text>IFR https://nhsgmgmicbsa.blob.core.windows.net/nhsgmgmicbblobstorage/GMEUR/Commissioning%20Statements/NHSGM%20-%20005.pdf</text>
    <extLst>
      <x:ext xmlns:xltc2="http://schemas.microsoft.com/office/spreadsheetml/2020/threadedcomments2" uri="{F7C98A9C-CBB3-438F-8F68-D28B6AF4A901}">
        <xltc2:checksum>3443604353</xltc2:checksum>
        <xltc2:hyperlink startIndex="4" length="117" url="https://nhsgmgmicbsa.blob.core.windows.net/nhsgmgmicbblobstorage/GMEUR/Commissioning%20Statements/NHSGM%20-%20005.pdf"/>
      </x:ext>
    </extLst>
  </threadedComment>
  <threadedComment ref="AB54" dT="2025-06-27T11:28:46.29" personId="{95736710-EFA0-493C-AAE5-6E4C07E0F9AD}" id="{A91A5D65-1B99-4821-8DCD-775AF577FB61}">
    <text>IFR https://nwknowledgenow.nhs.uk/content/low-back-pain-other-procedures/</text>
    <extLst>
      <x:ext xmlns:xltc2="http://schemas.microsoft.com/office/spreadsheetml/2020/threadedcomments2" uri="{F7C98A9C-CBB3-438F-8F68-D28B6AF4A901}">
        <xltc2:checksum>743146242</xltc2:checksum>
        <xltc2:hyperlink startIndex="4" length="69" url="https://nwknowledgenow.nhs.uk/content/low-back-pain-other-procedures/"/>
      </x:ext>
    </extLst>
  </threadedComment>
  <threadedComment ref="AN54" dT="2025-06-28T09:37:46.22" personId="{95736710-EFA0-493C-AAE5-6E4C07E0F9AD}" id="{2F5B24D8-8093-422B-8485-B4B87D7F96D0}">
    <text>IFR “Endoscopic laser foraminoplasty ” https://suffolkandnortheastessex.icb.nhs.uk/about-us/our-policies/</text>
    <extLst>
      <x:ext xmlns:xltc2="http://schemas.microsoft.com/office/spreadsheetml/2020/threadedcomments2" uri="{F7C98A9C-CBB3-438F-8F68-D28B6AF4A901}">
        <xltc2:checksum>747855389</xltc2:checksum>
        <xltc2:hyperlink startIndex="39" length="66" url="https://suffolkandnortheastessex.icb.nhs.uk/about-us/our-policies/"/>
      </x:ext>
    </extLst>
  </threadedComment>
  <threadedComment ref="J56" dT="2025-06-18T09:55:54.50" personId="{95736710-EFA0-493C-AAE5-6E4C07E0F9AD}" id="{FDAA6F32-CEF5-454B-908B-56E7BFBEC0DB}">
    <text xml:space="preserve">Should be a tick https://www.cheshireandmerseyside.nhs.uk/media/52yeoph3/pol-clin096-blephptosis-final-v03.pdf
</text>
    <extLst>
      <x:ext xmlns:xltc2="http://schemas.microsoft.com/office/spreadsheetml/2020/threadedcomments2" uri="{F7C98A9C-CBB3-438F-8F68-D28B6AF4A901}">
        <xltc2:checksum>184640964</xltc2:checksum>
        <xltc2:hyperlink startIndex="17" length="93" url="https://www.cheshireandmerseyside.nhs.uk/media/52yeoph3/pol-clin096-blephptosis-final-v03.pdf"/>
      </x:ext>
    </extLst>
  </threadedComment>
  <threadedComment ref="K56" dT="2025-06-18T10:56:20.77" personId="{95736710-EFA0-493C-AAE5-6E4C07E0F9AD}" id="{59BBD8EE-8AB2-4725-BE71-2CC4AB1413EB}">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L56" dT="2025-06-18T11:40:53.67" personId="{95736710-EFA0-493C-AAE5-6E4C07E0F9AD}" id="{95BB1C39-75E3-430F-905D-48707E54EF15}">
    <text>Tick https://www.happyhealthylives.uk/clientfiles/files/document_library/Treatments%20Designed%20to%20Improve%20Aesthetic%20Appearance%20Policy.pdf</text>
    <extLst>
      <x:ext xmlns:xltc2="http://schemas.microsoft.com/office/spreadsheetml/2020/threadedcomments2" uri="{F7C98A9C-CBB3-438F-8F68-D28B6AF4A901}">
        <xltc2:checksum>3512207740</xltc2:checksum>
        <xltc2:hyperlink startIndex="5" length="142" url="https://www.happyhealthylives.uk/clientfiles/files/document_library/Treatments%20Designed%20to%20Improve%20Aesthetic%20Appearance%20Policy.pdf"/>
      </x:ext>
    </extLst>
  </threadedComment>
  <threadedComment ref="M56" dT="2025-06-18T12:32:23.33" personId="{95736710-EFA0-493C-AAE5-6E4C07E0F9AD}" id="{9E736365-F234-4D06-99FB-064540FCB358}">
    <text>Tick https://www.derbyshiremedicinesmanagement.nhs.uk/assets/Clinical-Policies/Clinical_Policies/Cosmetic/cosmetic/Blepharoplasty.pdf</text>
    <extLst>
      <x:ext xmlns:xltc2="http://schemas.microsoft.com/office/spreadsheetml/2020/threadedcomments2" uri="{F7C98A9C-CBB3-438F-8F68-D28B6AF4A901}">
        <xltc2:checksum>2635670389</xltc2:checksum>
        <xltc2:hyperlink startIndex="5" length="128" url="https://www.derbyshiremedicinesmanagement.nhs.uk/assets/Clinical-Policies/Clinical_Policies/Cosmetic/cosmetic/Blepharoplasty.pdf"/>
      </x:ext>
    </extLst>
  </threadedComment>
  <threadedComment ref="N56" dT="2025-06-18T14:03:12.02" personId="{95736710-EFA0-493C-AAE5-6E4C07E0F9AD}" id="{D79DF863-7D7D-4AA7-A1C5-2D2D01306EF0}">
    <text xml:space="preserve">Criteria based Blepharoplasty (Upper and Lower lid) including Brow Lift
</text>
    <extLst>
      <x:ext xmlns:xltc2="http://schemas.microsoft.com/office/spreadsheetml/2020/threadedcomments2" uri="{F7C98A9C-CBB3-438F-8F68-D28B6AF4A901}">
        <xltc2:checksum>1277500627</xltc2:checksum>
        <xltc2:hyperlink startIndex="15" length="56" url="https://onedevon.org.uk/download/blepharoplasty/?wpdmdl=7302&amp;refresh=6852c6cddefb21750255309"/>
      </x:ext>
    </extLst>
  </threadedComment>
  <threadedComment ref="Q56" dT="2025-06-18T16:47:20.63" personId="{95736710-EFA0-493C-AAE5-6E4C07E0F9AD}" id="{24A5E504-C2E3-4081-ADDA-44891F0C92A4}">
    <text>https://www.nhsglos.nhs.uk/wp-content/uploads/2025/06/Blepharoplasty.pdf mentioned here</text>
    <extLst>
      <x:ext xmlns:xltc2="http://schemas.microsoft.com/office/spreadsheetml/2020/threadedcomments2" uri="{F7C98A9C-CBB3-438F-8F68-D28B6AF4A901}">
        <xltc2:checksum>2458951100</xltc2:checksum>
        <xltc2:hyperlink startIndex="0" length="72" url="https://www.nhsglos.nhs.uk/wp-content/uploads/2025/06/Blepharoplasty.pdf"/>
      </x:ext>
    </extLst>
  </threadedComment>
  <threadedComment ref="Q56" dT="2025-06-18T16:47:31.51" personId="{95736710-EFA0-493C-AAE5-6E4C07E0F9AD}" id="{95565948-6547-4103-8266-A6064C65EBCD}" parentId="{24A5E504-C2E3-4081-ADDA-44891F0C92A4}">
    <text>Therefore criteria based?</text>
  </threadedComment>
  <threadedComment ref="R56" dT="2025-06-18T19:40:46.82" personId="{95736710-EFA0-493C-AAE5-6E4C07E0F9AD}" id="{208C015C-8533-4D8E-958C-551065CF2609}">
    <text>Criteria https://nhsgmgmicbsa.blob.core.windows.net/nhsgmgmicbblobstorage/GMEUR/Commissioning%20Statements/GM%20Dermatochalasis%20Commissioning%20Statement.pdf</text>
    <extLst>
      <x:ext xmlns:xltc2="http://schemas.microsoft.com/office/spreadsheetml/2020/threadedcomments2" uri="{F7C98A9C-CBB3-438F-8F68-D28B6AF4A901}">
        <xltc2:checksum>1457161363</xltc2:checksum>
        <xltc2:hyperlink startIndex="9" length="150" url="https://nhsgmgmicbsa.blob.core.windows.net/nhsgmgmicbblobstorage/GMEUR/Commissioning%20Statements/GM%20Dermatochalasis%20Commissioning%20Statement.pdf"/>
      </x:ext>
    </extLst>
  </threadedComment>
  <threadedComment ref="X56" dT="2025-06-27T09:14:52.36" personId="{95736710-EFA0-493C-AAE5-6E4C07E0F9AD}" id="{BB8A0E13-3EBC-40F5-8506-45F57C8BE74C}">
    <text>Mentioned as part of bleph surgery - tick - https://www.healthierlsc.co.uk/application/files/4816/8487/3599/LSCICB_Clin43_Policy_for_Cosmetic_Procedures_v3.2.pdf</text>
    <extLst>
      <x:ext xmlns:xltc2="http://schemas.microsoft.com/office/spreadsheetml/2020/threadedcomments2" uri="{F7C98A9C-CBB3-438F-8F68-D28B6AF4A901}">
        <xltc2:checksum>4010400030</xltc2:checksum>
        <xltc2:hyperlink startIndex="44" length="117" url="https://www.healthierlsc.co.uk/application/files/4816/8487/3599/LSCICB_Clin43_Policy_for_Cosmetic_Procedures_v3.2.pdf"/>
      </x:ext>
    </extLst>
  </threadedComment>
  <threadedComment ref="Y56" dT="2025-06-27T09:45:22.57" personId="{95736710-EFA0-493C-AAE5-6E4C07E0F9AD}" id="{D61F0B63-9B6F-4EF3-BFAD-D2EC8A32FB64}">
    <text>Under bleph policy - tick https://leicesterleicestershireandrutland.icb.nhs.uk/llr-policy-for-blepharoplasty/</text>
    <extLst>
      <x:ext xmlns:xltc2="http://schemas.microsoft.com/office/spreadsheetml/2020/threadedcomments2" uri="{F7C98A9C-CBB3-438F-8F68-D28B6AF4A901}">
        <xltc2:checksum>242132000</xltc2:checksum>
        <xltc2:hyperlink startIndex="26" length="83" url="https://leicesterleicestershireandrutland.icb.nhs.uk/llr-policy-for-blepharoplasty/"/>
      </x:ext>
    </extLst>
  </threadedComment>
  <threadedComment ref="Z56" dT="2025-06-22T22:21:16.76" personId="{95736710-EFA0-493C-AAE5-6E4C07E0F9AD}" id="{B988F707-B556-462F-9765-E0E48A075DC7}">
    <text>Tick https://lincolnshire.icb.nhs.uk/~documents/icb-publications/our-policies-and-procedures/clinical-governance/cg-003-prior-approval-policy/?layout=file</text>
    <extLst>
      <x:ext xmlns:xltc2="http://schemas.microsoft.com/office/spreadsheetml/2020/threadedcomments2" uri="{F7C98A9C-CBB3-438F-8F68-D28B6AF4A901}">
        <xltc2:checksum>1517442531</xltc2:checksum>
        <xltc2:hyperlink startIndex="5" length="149" url="https://lincolnshire.icb.nhs.uk/~documents/icb-publications/our-policies-and-procedures/clinical-governance/cg-003-prior-approval-policy/?layout=file"/>
      </x:ext>
    </extLst>
  </threadedComment>
  <threadedComment ref="AB56" dT="2025-06-27T11:20:26.96" personId="{95736710-EFA0-493C-AAE5-6E4C07E0F9AD}" id="{B62ECFD9-8617-45C6-85AD-313BCCC89D70}">
    <text>Tick https://nwknowledgenow.nhs.uk/content/eyelid-surgery/</text>
    <extLst>
      <x:ext xmlns:xltc2="http://schemas.microsoft.com/office/spreadsheetml/2020/threadedcomments2" uri="{F7C98A9C-CBB3-438F-8F68-D28B6AF4A901}">
        <xltc2:checksum>2947524665</xltc2:checksum>
        <xltc2:hyperlink startIndex="5" length="53" url="https://nwknowledgenow.nhs.uk/content/eyelid-surgery/"/>
      </x:ext>
    </extLst>
  </threadedComment>
  <threadedComment ref="AE56" dT="2025-06-26T14:53:32.00" personId="{95736710-EFA0-493C-AAE5-6E4C07E0F9AD}" id="{256C501E-60A2-4760-8783-C094C02E55CA}">
    <text xml:space="preserve">Tick - Section 1: Entropion Botox will be commissioned by NEL CCG for patients with INVOLUTIONAL entropion who meet one of the following criteria: 1. Have a corneal ulcer/keratopathy secondary to entropion OR 2. Where surgery is contraindicated due to medical co-morbidities not warranting cessation of anticoagulation OR 3. Patient with advanced dementia, who is not fir for surgery under local, with or without sedation or general anaesthesia </text>
  </threadedComment>
  <threadedComment ref="AF56" dT="2025-06-27T21:21:54.30" personId="{95736710-EFA0-493C-AAE5-6E4C07E0F9AD}" id="{E6CA4248-9E75-40AC-9250-B0635FE3E920}">
    <text>Routinely provided under contract https://www.nwlondonicb.nhs.uk/application/files/6216/7664/3303/Blepharoplasty_v7.pdf</text>
    <extLst>
      <x:ext xmlns:xltc2="http://schemas.microsoft.com/office/spreadsheetml/2020/threadedcomments2" uri="{F7C98A9C-CBB3-438F-8F68-D28B6AF4A901}">
        <xltc2:checksum>3957932622</xltc2:checksum>
        <xltc2:hyperlink startIndex="34" length="85" url="https://www.nwlondonicb.nhs.uk/application/files/6216/7664/3303/Blepharoplasty_v7.pdf"/>
      </x:ext>
    </extLst>
  </threadedComment>
  <threadedComment ref="AM56" dT="2025-06-26T22:17:30.28" personId="{95736710-EFA0-493C-AAE5-6E4C07E0F9AD}" id="{47B5B368-CCF1-4878-9186-B54C4634BD64}">
    <text>Tick - Blepharoplasty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2022374482</xltc2:checksum>
        <xltc2:hyperlink startIndex="22" length="189" url="https://staffsstoke.icb.nhs.uk/your-nhs-integrated-care-board/our-publications/governance-handbook/all-policies/commissioning/icb-excluded-and-restricted-procedures-policy-v3-1/?layout=file"/>
      </x:ext>
    </extLst>
  </threadedComment>
  <threadedComment ref="AN56" dT="2025-06-28T09:39:00.38" personId="{95736710-EFA0-493C-AAE5-6E4C07E0F9AD}" id="{5DB3666D-C70D-49AD-981E-F03F351FA1D5}">
    <text>Tick - Lower eyelid blepharoplasty will be considered in the following conditions when the specified criteria are met. Defects predisposing to corneal or conjunctival irritation • There are defects predisposing to corneal or conjunctival irritation such as ectropion or entropion or lesions of the eyelid skin or lid margin.  https://suffolkandnortheastessex.icb.nhs.uk/about-us/our-policies/</text>
    <extLst>
      <x:ext xmlns:xltc2="http://schemas.microsoft.com/office/spreadsheetml/2020/threadedcomments2" uri="{F7C98A9C-CBB3-438F-8F68-D28B6AF4A901}">
        <xltc2:checksum>1105837016</xltc2:checksum>
        <xltc2:hyperlink startIndex="326" length="66" url="https://suffolkandnortheastessex.icb.nhs.uk/about-us/our-policies/"/>
      </x:ext>
    </extLst>
  </threadedComment>
  <threadedComment ref="AO56" dT="2025-06-28T10:54:49.52" personId="{95736710-EFA0-493C-AAE5-6E4C07E0F9AD}" id="{EAEF083B-4FDE-456A-9A8F-A6EDB675B9A6}">
    <text>Covered in blepharopplasty policy https://www.surreyheartlands.org/tnrf2-ophthalmology</text>
    <extLst>
      <x:ext xmlns:xltc2="http://schemas.microsoft.com/office/spreadsheetml/2020/threadedcomments2" uri="{F7C98A9C-CBB3-438F-8F68-D28B6AF4A901}">
        <xltc2:checksum>275529628</xltc2:checksum>
        <xltc2:hyperlink startIndex="34" length="52" url="https://www.surreyheartlands.org/tnrf2-ophthalmology"/>
      </x:ext>
    </extLst>
  </threadedComment>
  <threadedComment ref="AP56" dT="2025-06-26T23:32:07.59" personId="{95736710-EFA0-493C-AAE5-6E4C07E0F9AD}" id="{55FEFB15-4456-42C1-921E-D0E9DC09105A}">
    <text>Tick “Please note NHS Sussex supports the correction of ectropion and entropion where clinically indicated.” https://int.sussex.ics.nhs.uk/clinical_documents/sussex-cec-clinical-policy/</text>
    <extLst>
      <x:ext xmlns:xltc2="http://schemas.microsoft.com/office/spreadsheetml/2020/threadedcomments2" uri="{F7C98A9C-CBB3-438F-8F68-D28B6AF4A901}">
        <xltc2:checksum>617507440</xltc2:checksum>
        <xltc2:hyperlink startIndex="109" length="76" url="https://int.sussex.ics.nhs.uk/clinical_documents/sussex-cec-clinical-policy/"/>
      </x:ext>
    </extLst>
  </threadedComment>
  <threadedComment ref="K57" dT="2025-06-18T10:45:00.86" personId="{95736710-EFA0-493C-AAE5-6E4C07E0F9AD}" id="{0DD11EE1-65BE-45BB-B10D-5888D9A480DF}">
    <text>Should be IFR https://docs.cios.icb.nhs.uk/DocumentsLibrary/NHSCornwallAndIslesOfScilly/Services/IndividualFundingRequests/CommissioningPolicies.pdf</text>
    <extLst>
      <x:ext xmlns:xltc2="http://schemas.microsoft.com/office/spreadsheetml/2020/threadedcomments2" uri="{F7C98A9C-CBB3-438F-8F68-D28B6AF4A901}">
        <xltc2:checksum>2123764692</xltc2:checksum>
        <xltc2:hyperlink startIndex="14" length="134" url="https://docs.cios.icb.nhs.uk/DocumentsLibrary/NHSCornwallAndIslesOfScilly/Services/IndividualFundingRequests/CommissioningPolicies.pdf"/>
      </x:ext>
    </extLst>
  </threadedComment>
  <threadedComment ref="F58" dT="2025-06-11T21:52:39.13" personId="{95736710-EFA0-493C-AAE5-6E4C07E0F9AD}" id="{D91EC4A9-6270-464F-AC3F-1B149A12C4E2}">
    <text xml:space="preserve">EBI policy. Early endoscopic retrograde ERCP (Endoscopic retrograde cholangiopancreatography) in acute gallstone pancreatitis without cholangitis
Endoscopic retrograde Cholangiopancreatography, a procedure using x-rays and a gastroscope to look at the bile and pancreatic duct. https://blackcountry.icb.nhs.uk/have-your-say/get-involved/current-consultations-and-engagement/clinical-policy-review2 
</text>
    <extLst>
      <x:ext xmlns:xltc2="http://schemas.microsoft.com/office/spreadsheetml/2020/threadedcomments2" uri="{F7C98A9C-CBB3-438F-8F68-D28B6AF4A901}">
        <xltc2:checksum>2137642671</xltc2:checksum>
        <xltc2:hyperlink startIndex="278" length="119" url="https://blackcountry.icb.nhs.uk/have-your-say/get-involved/current-consultations-and-engagement/clinical-policy-review2"/>
      </x:ext>
    </extLst>
  </threadedComment>
  <threadedComment ref="I58" dT="2025-06-17T22:00:48.80" personId="{95736710-EFA0-493C-AAE5-6E4C07E0F9AD}" id="{89DD8CB5-5439-4F35-B6ED-B4F8AD77894E}">
    <text>“Early endoscopic retrograde cholangiopancreatography (ERCP) is not recommended for acute gallstone pancreatitis without cholangitis.
” https://www.cpics.org.uk/download.cfm?doc=docm93jijm4n1119.pdf&amp;ver=1982</text>
    <extLst>
      <x:ext xmlns:xltc2="http://schemas.microsoft.com/office/spreadsheetml/2020/threadedcomments2" uri="{F7C98A9C-CBB3-438F-8F68-D28B6AF4A901}">
        <xltc2:checksum>796001177</xltc2:checksum>
        <xltc2:hyperlink startIndex="136" length="71" url="https://www.cpics.org.uk/download.cfm?doc=docm93jijm4n1119.pdf&amp;ver=1982"/>
      </x:ext>
    </extLst>
  </threadedComment>
  <threadedComment ref="K58" dT="2025-06-18T10:58:53.39" personId="{95736710-EFA0-493C-AAE5-6E4C07E0F9AD}" id="{E6C8B7B2-9498-4A02-B8F9-672C87A3E9E9}">
    <text>Should be a tick https://docs.cios.icb.nhs.uk/DocumentsLibrary/NHSCornwallAndIslesOfScilly/Services/IndividualFundingRequests/CommissioningPolicies.pdf</text>
    <extLst>
      <x:ext xmlns:xltc2="http://schemas.microsoft.com/office/spreadsheetml/2020/threadedcomments2" uri="{F7C98A9C-CBB3-438F-8F68-D28B6AF4A901}">
        <xltc2:checksum>2660701510</xltc2:checksum>
        <xltc2:hyperlink startIndex="17" length="134" url="https://docs.cios.icb.nhs.uk/DocumentsLibrary/NHSCornwallAndIslesOfScilly/Services/IndividualFundingRequests/CommissioningPolicies.pdf"/>
      </x:ext>
    </extLst>
  </threadedComment>
  <threadedComment ref="U58" dT="2025-06-22T20:01:45.94" personId="{95736710-EFA0-493C-AAE5-6E4C07E0F9AD}" id="{29378E35-1C38-46E8-B38E-56533828B383}">
    <text>?tick https://www.hweclinicalguidance.nhs.uk/all-clinical-areas-documents/search-results/cholecystectomy/</text>
    <extLst>
      <x:ext xmlns:xltc2="http://schemas.microsoft.com/office/spreadsheetml/2020/threadedcomments2" uri="{F7C98A9C-CBB3-438F-8F68-D28B6AF4A901}">
        <xltc2:checksum>1125667039</xltc2:checksum>
        <xltc2:hyperlink startIndex="6" length="99" url="https://www.hweclinicalguidance.nhs.uk/all-clinical-areas-documents/search-results/cholecystectomy/"/>
      </x:ext>
    </extLst>
  </threadedComment>
  <threadedComment ref="AM58" dT="2025-06-26T22:18:59.55" personId="{95736710-EFA0-493C-AAE5-6E4C07E0F9AD}" id="{D452253F-B7CA-4B8A-B550-7698AEBDA6E6}">
    <text>Tick - Early Endoscopic Retrograde Cholangiopancreatography (ERCP) Management of Pancreatitis without cholangitis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2858761536</xltc2:checksum>
        <xltc2:hyperlink startIndex="114" length="189" url="https://staffsstoke.icb.nhs.uk/your-nhs-integrated-care-board/our-publications/governance-handbook/all-policies/commissioning/icb-excluded-and-restricted-procedures-policy-v3-1/?layout=file"/>
      </x:ext>
    </extLst>
  </threadedComment>
  <threadedComment ref="D61" dT="2025-06-11T14:35:22.37" personId="{95736710-EFA0-493C-AAE5-6E4C07E0F9AD}" id="{9737F2D4-1A49-49D0-9649-07EEA040DF50}">
    <text>Not funded - but is mentioned https://bedfordshirelutonandmiltonkeynes.icb.nhs.uk/~documents/policies/evidence-based-clinical-policies/peyronies-disease</text>
    <extLst>
      <x:ext xmlns:xltc2="http://schemas.microsoft.com/office/spreadsheetml/2020/threadedcomments2" uri="{F7C98A9C-CBB3-438F-8F68-D28B6AF4A901}">
        <xltc2:checksum>292245261</xltc2:checksum>
        <xltc2:hyperlink startIndex="30" length="122" url="https://bedfordshirelutonandmiltonkeynes.icb.nhs.uk/~documents/policies/evidence-based-clinical-policies/peyronies-disease"/>
      </x:ext>
    </extLst>
  </threadedComment>
  <threadedComment ref="H61" dT="2025-06-17T17:45:58.32" personId="{95736710-EFA0-493C-AAE5-6E4C07E0F9AD}" id="{BFD5E0E0-BCF2-4FD4-B6B8-37CFE16A31FA}">
    <text>Criteria based https://www.bucksoxonberksw.icb.nhs.uk/media/3339/tvpc105-surgical-removal-of-kidney-stones.pdf</text>
    <extLst>
      <x:ext xmlns:xltc2="http://schemas.microsoft.com/office/spreadsheetml/2020/threadedcomments2" uri="{F7C98A9C-CBB3-438F-8F68-D28B6AF4A901}">
        <xltc2:checksum>205276941</xltc2:checksum>
        <xltc2:hyperlink startIndex="15" length="95" url="https://www.bucksoxonberksw.icb.nhs.uk/media/3339/tvpc105-surgical-removal-of-kidney-stones.pdf"/>
      </x:ext>
    </extLst>
  </threadedComment>
  <threadedComment ref="T61" dT="2025-06-22T18:07:12.92" personId="{95736710-EFA0-493C-AAE5-6E4C07E0F9AD}" id="{80ECD60D-7946-4961-99D5-63BE332DCF3A}">
    <text>IFR https://www.hwics.org.uk/application/files/2917/5034/2252/ICB_ESWT_RPT_Commissioning_Policy_v1.3.1.pdf</text>
    <extLst>
      <x:ext xmlns:xltc2="http://schemas.microsoft.com/office/spreadsheetml/2020/threadedcomments2" uri="{F7C98A9C-CBB3-438F-8F68-D28B6AF4A901}">
        <xltc2:checksum>4153659412</xltc2:checksum>
        <xltc2:hyperlink startIndex="4" length="102" url="https://www.hwics.org.uk/application/files/2917/5034/2252/ICB_ESWT_RPT_Commissioning_Policy_v1.3.1.pdf"/>
      </x:ext>
    </extLst>
  </threadedComment>
  <threadedComment ref="U61" dT="2025-06-22T20:03:15.37" personId="{95736710-EFA0-493C-AAE5-6E4C07E0F9AD}" id="{726D0ECE-4A5F-4997-8BBB-37011EEDBB9B}">
    <text>Extracorporeal Shockwave Therapy will not be funded due to inadequate evidence of efficacy. Collegenase clostridium histolyticum (Xiapex) is no longer available in the UK.    https://www.hweclinicalguidance.nhs.uk/all-clinical-areas-documents/search-results/peyronies-disease/</text>
    <extLst>
      <x:ext xmlns:xltc2="http://schemas.microsoft.com/office/spreadsheetml/2020/threadedcomments2" uri="{F7C98A9C-CBB3-438F-8F68-D28B6AF4A901}">
        <xltc2:checksum>3090388092</xltc2:checksum>
        <xltc2:hyperlink startIndex="175" length="101" url="https://www.hweclinicalguidance.nhs.uk/all-clinical-areas-documents/search-results/peyronies-disease/"/>
      </x:ext>
    </extLst>
  </threadedComment>
  <threadedComment ref="J62" dT="2025-06-18T09:35:01.50" personId="{95736710-EFA0-493C-AAE5-6E4C07E0F9AD}" id="{509E79CD-74DC-4BA4-BFE1-7D77C65C7761}">
    <text>Should be a tick https://www.cheshireandmerseyside.nhs.uk/media/52yeoph3/pol-clin096-blephptosis-final-v03.pdf</text>
    <extLst>
      <x:ext xmlns:xltc2="http://schemas.microsoft.com/office/spreadsheetml/2020/threadedcomments2" uri="{F7C98A9C-CBB3-438F-8F68-D28B6AF4A901}">
        <xltc2:checksum>2349599573</xltc2:checksum>
        <xltc2:hyperlink startIndex="17" length="93" url="https://www.cheshireandmerseyside.nhs.uk/media/52yeoph3/pol-clin096-blephptosis-final-v03.pdf"/>
      </x:ext>
    </extLst>
  </threadedComment>
  <threadedComment ref="S62" dT="2025-06-18T21:47:20.03" personId="{95736710-EFA0-493C-AAE5-6E4C07E0F9AD}" id="{97F768E0-6DBA-4B01-84F9-5EF1D438EA4D}">
    <text xml:space="preserve">Criteria based https://fundingrequests.scwcsu.nhs.uk/wp-content/uploads/2023/04/52-Eyelid-surgery-for-ptosis-and-dermatochalasis.pdf
</text>
    <extLst>
      <x:ext xmlns:xltc2="http://schemas.microsoft.com/office/spreadsheetml/2020/threadedcomments2" uri="{F7C98A9C-CBB3-438F-8F68-D28B6AF4A901}">
        <xltc2:checksum>1975476442</xltc2:checksum>
        <xltc2:hyperlink startIndex="15" length="117" url="https://fundingrequests.scwcsu.nhs.uk/wp-content/uploads/2023/04/52-Eyelid-surgery-for-ptosis-and-dermatochalasis.pdf"/>
      </x:ext>
    </extLst>
  </threadedComment>
  <threadedComment ref="AI62" dT="2025-06-26T20:15:59.08" personId="{95736710-EFA0-493C-AAE5-6E4C07E0F9AD}" id="{4BBF9B8E-3F05-405F-879A-940BBC2929BA}">
    <text>IFR - aesthetics interventions “Blephoraplasty ”</text>
  </threadedComment>
  <threadedComment ref="I63" dT="2025-06-17T21:56:50.46" personId="{95736710-EFA0-493C-AAE5-6E4C07E0F9AD}" id="{27433FD1-A9E9-4016-8E78-0B3B2478DE52}">
    <text>Criteria based when meets certain criteria, not cosmetic https://www.cpics.org.uk/download.cfm?doc=docm93jijm4n1363.pdf&amp;ver=2674</text>
    <extLst>
      <x:ext xmlns:xltc2="http://schemas.microsoft.com/office/spreadsheetml/2020/threadedcomments2" uri="{F7C98A9C-CBB3-438F-8F68-D28B6AF4A901}">
        <xltc2:checksum>1104951170</xltc2:checksum>
        <xltc2:hyperlink startIndex="57" length="71" url="https://www.cpics.org.uk/download.cfm?doc=docm93jijm4n1363.pdf&amp;ver=2674"/>
      </x:ext>
    </extLst>
  </threadedComment>
  <threadedComment ref="L63" dT="2025-06-18T11:45:03.20" personId="{95736710-EFA0-493C-AAE5-6E4C07E0F9AD}" id="{945C4D79-1BE6-4F82-94A0-E37DEDBFD7D2}">
    <text>Prior approval code https://www.happyhealthylives.uk/clientfiles/files/document_library/Treatments%20Designed%20to%20Improve%20Aesthetic%20Appearance%20Policy.pdf</text>
    <extLst>
      <x:ext xmlns:xltc2="http://schemas.microsoft.com/office/spreadsheetml/2020/threadedcomments2" uri="{F7C98A9C-CBB3-438F-8F68-D28B6AF4A901}">
        <xltc2:checksum>2691091551</xltc2:checksum>
        <xltc2:hyperlink startIndex="20" length="142" url="https://www.happyhealthylives.uk/clientfiles/files/document_library/Treatments%20Designed%20to%20Improve%20Aesthetic%20Appearance%20Policy.pdf"/>
      </x:ext>
    </extLst>
  </threadedComment>
  <threadedComment ref="W63" dT="2025-06-24T09:40:25.16" personId="{95736710-EFA0-493C-AAE5-6E4C07E0F9AD}" id="{BF23A95B-A8F5-43D0-A300-8D8BDB878139}">
    <text>IFR https://www.kentandmedway.icb.nhs.uk/application/files/9817/1292/6708/KM_RaTC_April_2024.pdf</text>
    <extLst>
      <x:ext xmlns:xltc2="http://schemas.microsoft.com/office/spreadsheetml/2020/threadedcomments2" uri="{F7C98A9C-CBB3-438F-8F68-D28B6AF4A901}">
        <xltc2:checksum>2416876433</xltc2:checksum>
        <xltc2:hyperlink startIndex="4" length="92" url="https://www.kentandmedway.icb.nhs.uk/application/files/9817/1292/6708/KM_RaTC_April_2024.pdf"/>
      </x:ext>
    </extLst>
  </threadedComment>
  <threadedComment ref="Y63" dT="2025-06-27T09:33:10.33" personId="{95736710-EFA0-493C-AAE5-6E4C07E0F9AD}" id="{41671E69-494B-4B97-B315-483882A83556}">
    <text>Brow lift - threshold criteria https://leicesterleicestershireandrutland.icb.nhs.uk/policy-for-leicester-leicestershire-and-rutland-approved-referral-pathways/</text>
    <extLst>
      <x:ext xmlns:xltc2="http://schemas.microsoft.com/office/spreadsheetml/2020/threadedcomments2" uri="{F7C98A9C-CBB3-438F-8F68-D28B6AF4A901}">
        <xltc2:checksum>4086229655</xltc2:checksum>
        <xltc2:hyperlink startIndex="31" length="128" url="https://leicesterleicestershireandrutland.icb.nhs.uk/policy-for-leicester-leicestershire-and-rutland-approved-referral-pathways/"/>
      </x:ext>
    </extLst>
  </threadedComment>
  <threadedComment ref="AC63" dT="2025-06-24T10:58:14.79" personId="{95736710-EFA0-493C-AAE5-6E4C07E0F9AD}" id="{92D26D5A-F221-41E9-A305-5E14B33FB61D}">
    <text xml:space="preserve">Tick - Brow lift is not routinely funded by NCL ICB unless the criteria below are met and evidenced. After assessment by a specialist; evidence must be provided demonstrating the severity and clinical need for surgery in these instances:  Impairment of vision.  To correct impairment of the visual field </text>
  </threadedComment>
  <threadedComment ref="AL63" dT="2025-06-26T21:25:09.45" personId="{95736710-EFA0-493C-AAE5-6E4C07E0F9AD}" id="{C30B8710-61C8-4F6E-98CE-A3D67B3C4449}">
    <text xml:space="preserve">IFR - ”browlift” </text>
  </threadedComment>
  <threadedComment ref="D64" dT="2025-06-11T14:38:48.63" personId="{95736710-EFA0-493C-AAE5-6E4C07E0F9AD}" id="{415FDCF8-079E-4651-9293-A8D5431A5704}">
    <text>“For recurrent or refractory Clostridium Difficile infection up to a maximum of two transplants.” any other indication then not funded https://bedfordshirelutonandmiltonkeynes.icb.nhs.uk/~documents/policies/evidence-based-clinical-policies/faecal-microbita-transplants-for-clostridium-difficile</text>
    <extLst>
      <x:ext xmlns:xltc2="http://schemas.microsoft.com/office/spreadsheetml/2020/threadedcomments2" uri="{F7C98A9C-CBB3-438F-8F68-D28B6AF4A901}">
        <xltc2:checksum>1516128553</xltc2:checksum>
        <xltc2:hyperlink startIndex="135" length="159" url="https://bedfordshirelutonandmiltonkeynes.icb.nhs.uk/~documents/policies/evidence-based-clinical-policies/faecal-microbita-transplants-for-clostridium-difficile"/>
      </x:ext>
    </extLst>
  </threadedComment>
  <threadedComment ref="T64" dT="2025-06-22T19:22:39.94" personId="{95736710-EFA0-493C-AAE5-6E4C07E0F9AD}" id="{4C149F9B-A770-4675-8361-AEA794FB903F}">
    <text>Unable to find</text>
  </threadedComment>
  <threadedComment ref="AM64" dT="2025-06-26T22:20:47.18" personId="{95736710-EFA0-493C-AAE5-6E4C07E0F9AD}" id="{5E6D2E1C-3FC0-49AD-B582-90C2F759E3B3}">
    <text>IFR - faecal transplant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3500813619</xltc2:checksum>
        <xltc2:hyperlink startIndex="24" length="189" url="https://staffsstoke.icb.nhs.uk/your-nhs-integrated-care-board/our-publications/governance-handbook/all-policies/commissioning/icb-excluded-and-restricted-procedures-policy-v3-1/?layout=file"/>
      </x:ext>
    </extLst>
  </threadedComment>
  <threadedComment ref="AI65" dT="2025-06-26T20:16:43.76" personId="{95736710-EFA0-493C-AAE5-6E4C07E0F9AD}" id="{886EA34B-8898-40A5-84AB-98036007CB52}">
    <text>IFR https://www.shropshiretelfordandwrekin.nhs.uk/wp-content/uploads/20240314-VBC-Policy-v5-Final.pdf</text>
    <extLst>
      <x:ext xmlns:xltc2="http://schemas.microsoft.com/office/spreadsheetml/2020/threadedcomments2" uri="{F7C98A9C-CBB3-438F-8F68-D28B6AF4A901}">
        <xltc2:checksum>1459077557</xltc2:checksum>
        <xltc2:hyperlink startIndex="4" length="97" url="https://www.shropshiretelfordandwrekin.nhs.uk/wp-content/uploads/20240314-VBC-Policy-v5-Final.pdf"/>
      </x:ext>
    </extLst>
  </threadedComment>
  <threadedComment ref="AK65" dT="2025-06-26T20:49:38.43" personId="{95736710-EFA0-493C-AAE5-6E4C07E0F9AD}" id="{D7AC68BF-D62B-4FF1-A5E3-75547415C37F}">
    <text xml:space="preserve">?criteria? https://www.selondonics.org/wp-content/uploads/dlm_uploads/SEL-Treatment-Access-Policy-July-2024-v1.pdf 1.6 Body contouring (Abdominoplasty or tummy tuck, thigh lift and buttock lift, excision of redundant skin or fat liposuction) These procedures are not available on cosmetic grounds. An exception may be made for post-traumatic surgery for contouring at diabetes injection sites or for lymphoedema. </text>
    <extLst>
      <x:ext xmlns:xltc2="http://schemas.microsoft.com/office/spreadsheetml/2020/threadedcomments2" uri="{F7C98A9C-CBB3-438F-8F68-D28B6AF4A901}">
        <xltc2:checksum>2607415376</xltc2:checksum>
        <xltc2:hyperlink startIndex="11" length="103" url="https://www.selondonics.org/wp-content/uploads/dlm_uploads/SEL-Treatment-Access-Policy-July-2024-v1.pdf"/>
      </x:ext>
    </extLst>
  </threadedComment>
  <threadedComment ref="AN65" dT="2025-06-28T09:41:54.20" personId="{95736710-EFA0-493C-AAE5-6E4C07E0F9AD}" id="{B2915A72-51ED-4171-B362-54BD73BECECD}">
    <text>IFR covered under “body contouring” https://suffolkandnortheastessex.icb.nhs.uk/about-us/our-policies/</text>
    <extLst>
      <x:ext xmlns:xltc2="http://schemas.microsoft.com/office/spreadsheetml/2020/threadedcomments2" uri="{F7C98A9C-CBB3-438F-8F68-D28B6AF4A901}">
        <xltc2:checksum>228697658</xltc2:checksum>
        <xltc2:hyperlink startIndex="36" length="66" url="https://suffolkandnortheastessex.icb.nhs.uk/about-us/our-policies/"/>
      </x:ext>
    </extLst>
  </threadedComment>
  <threadedComment ref="AO65" dT="2025-06-28T11:14:36.00" personId="{95736710-EFA0-493C-AAE5-6E4C07E0F9AD}" id="{83F15C6E-4EF0-48AD-99A4-DDD2A8F607BB}">
    <text>IFR https://www.surreyheartlands.org/tnrf1-cosmetic-and-plastic-surgery</text>
    <extLst>
      <x:ext xmlns:xltc2="http://schemas.microsoft.com/office/spreadsheetml/2020/threadedcomments2" uri="{F7C98A9C-CBB3-438F-8F68-D28B6AF4A901}">
        <xltc2:checksum>846129554</xltc2:checksum>
        <xltc2:hyperlink startIndex="4" length="67" url="https://www.surreyheartlands.org/tnrf1-cosmetic-and-plastic-surgery"/>
      </x:ext>
    </extLst>
  </threadedComment>
  <threadedComment ref="G66" dT="2025-06-13T11:13:11.80" personId="{95736710-EFA0-493C-AAE5-6E4C07E0F9AD}" id="{1E83A972-AB31-45F2-B786-79EA3A7AC0EF}">
    <text>Criteria based access should be a tick https://bnssghealthiertogether.org.uk/wp-content/uploads/2017/02/Female-Sterilisation-Reversal.pdf</text>
    <extLst>
      <x:ext xmlns:xltc2="http://schemas.microsoft.com/office/spreadsheetml/2020/threadedcomments2" uri="{F7C98A9C-CBB3-438F-8F68-D28B6AF4A901}">
        <xltc2:checksum>1732689031</xltc2:checksum>
        <xltc2:hyperlink startIndex="39" length="98" url="https://bnssghealthiertogether.org.uk/wp-content/uploads/2017/02/Female-Sterilisation-Reversal.pdf"/>
      </x:ext>
    </extLst>
  </threadedComment>
  <threadedComment ref="T66" dT="2025-06-22T19:28:17.29" personId="{95736710-EFA0-493C-AAE5-6E4C07E0F9AD}" id="{6BE740A6-305B-4328-9CCD-449A59807159}">
    <text>Unable to find ref</text>
  </threadedComment>
  <threadedComment ref="AH66" dT="2025-06-26T19:27:18.46" personId="{95736710-EFA0-493C-AAE5-6E4C07E0F9AD}" id="{DE5255D4-CAC5-4671-AC03-2A3AFF8CC3AB}">
    <text>Can only find reversal</text>
  </threadedComment>
  <threadedComment ref="R68" dT="2025-06-18T21:48:59.26" personId="{95736710-EFA0-493C-AAE5-6E4C07E0F9AD}" id="{CDCD4AB7-5951-459A-8E51-C1591906E33E}">
    <text>https://nhsgmgmicbsa.blob.core.windows.net/nhsgmgmicbblobstorage/GMEUR/Commissioning%20Statements/GM%20Other%20Aesthetic%20Surgery%20Commissioning%20Statement.pdf IFR limb lengthening</text>
    <extLst>
      <x:ext xmlns:xltc2="http://schemas.microsoft.com/office/spreadsheetml/2020/threadedcomments2" uri="{F7C98A9C-CBB3-438F-8F68-D28B6AF4A901}">
        <xltc2:checksum>3901315842</xltc2:checksum>
        <xltc2:hyperlink startIndex="0" length="162" url="https://nhsgmgmicbsa.blob.core.windows.net/nhsgmgmicbblobstorage/GMEUR/Commissioning%20Statements/GM%20Other%20Aesthetic%20Surgery%20Commissioning%20Statement.pdf"/>
      </x:ext>
    </extLst>
  </threadedComment>
  <threadedComment ref="O69" dT="2025-06-18T15:07:33.05" personId="{95736710-EFA0-493C-AAE5-6E4C07E0F9AD}" id="{58B7A831-0E37-4FC5-A05E-55AB8CC546F6}">
    <text>Criteria based https://nhsdorset.nhs.uk/wp-content/uploads/2022/11/Functional-Electronic-Stimulation-EBI.pdf</text>
    <extLst>
      <x:ext xmlns:xltc2="http://schemas.microsoft.com/office/spreadsheetml/2020/threadedcomments2" uri="{F7C98A9C-CBB3-438F-8F68-D28B6AF4A901}">
        <xltc2:checksum>2608864867</xltc2:checksum>
        <xltc2:hyperlink startIndex="15" length="93" url="https://nhsdorset.nhs.uk/wp-content/uploads/2022/11/Functional-Electronic-Stimulation-EBI.pdf"/>
      </x:ext>
    </extLst>
  </threadedComment>
  <threadedComment ref="U69" dT="2025-06-22T20:06:55.81" personId="{95736710-EFA0-493C-AAE5-6E4C07E0F9AD}" id="{3AC8A55A-E6BD-4B91-97FE-C5D08DCE721C}">
    <text>IFR instead https://www.hweclinicalguidance.nhs.uk/all-clinical-areas-documents/search-results/functional-electrical-stimulation/</text>
    <extLst>
      <x:ext xmlns:xltc2="http://schemas.microsoft.com/office/spreadsheetml/2020/threadedcomments2" uri="{F7C98A9C-CBB3-438F-8F68-D28B6AF4A901}">
        <xltc2:checksum>171633665</xltc2:checksum>
        <xltc2:hyperlink startIndex="12" length="117" url="https://www.hweclinicalguidance.nhs.uk/all-clinical-areas-documents/search-results/functional-electrical-stimulation/"/>
      </x:ext>
    </extLst>
  </threadedComment>
  <threadedComment ref="Z69" dT="2025-06-22T22:25:39.38" personId="{95736710-EFA0-493C-AAE5-6E4C07E0F9AD}" id="{9CB1C7DE-728C-4C3A-9540-507C09AE52E0}">
    <text>IFR https://lincolnshire.icb.nhs.uk/~documents/icb-publications/our-policies-and-procedures/clinical-governance/cg-003-prior-approval-policy/?layout=file</text>
    <extLst>
      <x:ext xmlns:xltc2="http://schemas.microsoft.com/office/spreadsheetml/2020/threadedcomments2" uri="{F7C98A9C-CBB3-438F-8F68-D28B6AF4A901}">
        <xltc2:checksum>2675990717</xltc2:checksum>
        <xltc2:hyperlink startIndex="4" length="149" url="https://lincolnshire.icb.nhs.uk/~documents/icb-publications/our-policies-and-procedures/clinical-governance/cg-003-prior-approval-policy/?layout=file"/>
      </x:ext>
    </extLst>
  </threadedComment>
  <threadedComment ref="E70" dT="2025-06-11T15:17:10.91" personId="{95736710-EFA0-493C-AAE5-6E4C07E0F9AD}" id="{6559BE24-7D84-4178-B2C4-6FC9CBED8C04}">
    <text>https://www.birminghamsolihull.icb.nhs.uk/health-information-and-advice/policies/bowel-and-rectum - grade 1 and 2 not indicated, grade 3 and 5 criteria based acess</text>
    <extLst>
      <x:ext xmlns:xltc2="http://schemas.microsoft.com/office/spreadsheetml/2020/threadedcomments2" uri="{F7C98A9C-CBB3-438F-8F68-D28B6AF4A901}">
        <xltc2:checksum>3342878647</xltc2:checksum>
        <xltc2:hyperlink startIndex="0" length="97" url="https://www.birminghamsolihull.icb.nhs.uk/health-information-and-advice/policies/bowel-and-rectum"/>
      </x:ext>
    </extLst>
  </threadedComment>
  <threadedComment ref="C71" dT="2025-06-03T09:26:46.22" personId="{95736710-EFA0-493C-AAE5-6E4C07E0F9AD}" id="{2745CE81-DA1C-43EA-ADA5-DBF38EC6A6B3}">
    <text xml:space="preserve">Unable to find re hair removal only replacement </text>
  </threadedComment>
  <threadedComment ref="F71" dT="2025-06-11T22:01:26.60" personId="{95736710-EFA0-493C-AAE5-6E4C07E0F9AD}" id="{BB95BEA3-09F4-4661-AC4E-BE01F55950CE}">
    <text xml:space="preserve">https://blackcountryics.org.uk/application/files/5917/0688/4896/BCICB_POLICY_Hair_removal.pdf 2.1 The following clinical indications are routinely funded: 2.1.1 Hair removal for grafts and flaps either before or after reconstructive surgery if the recipient site either does not normally grow or the graft gives rise to a patch of excessive growth. 2.1.2 As part of the treatment for pilonidal sinuses to reduce recurrence. 2.2 Cosmetic and aesthetic (psychological) indications are not funded. </text>
    <extLst>
      <x:ext xmlns:xltc2="http://schemas.microsoft.com/office/spreadsheetml/2020/threadedcomments2" uri="{F7C98A9C-CBB3-438F-8F68-D28B6AF4A901}">
        <xltc2:checksum>487372894</xltc2:checksum>
        <xltc2:hyperlink startIndex="0" length="93" url="https://blackcountryics.org.uk/application/files/5917/0688/4896/BCICB_POLICY_Hair_removal.pdf"/>
      </x:ext>
    </extLst>
  </threadedComment>
  <threadedComment ref="J71" dT="2025-06-17T22:43:06.90" personId="{95736710-EFA0-493C-AAE5-6E4C07E0F9AD}" id="{3ECDD838-5CC0-4F7E-8481-2A9F59E0C6DD}">
    <text>https://www.cheshireandmerseyside.nhs.uk/media/fjoihfhp/pol-clin053-hirsutismhairremoval-final-v05.pdf IFR</text>
    <extLst>
      <x:ext xmlns:xltc2="http://schemas.microsoft.com/office/spreadsheetml/2020/threadedcomments2" uri="{F7C98A9C-CBB3-438F-8F68-D28B6AF4A901}">
        <xltc2:checksum>1613879488</xltc2:checksum>
        <xltc2:hyperlink startIndex="0" length="102" url="https://www.cheshireandmerseyside.nhs.uk/media/fjoihfhp/pol-clin053-hirsutismhairremoval-final-v05.pdf"/>
      </x:ext>
    </extLst>
  </threadedComment>
  <threadedComment ref="AF71" dT="2025-06-27T21:38:03.64" personId="{95736710-EFA0-493C-AAE5-6E4C07E0F9AD}" id="{E1C21EB1-8514-454D-9881-8659A141F33C}">
    <text>https://www.nwlondonicb.nhs.uk/application/files/2416/7664/3313/Laser_Hair_Removal_v7.pdf - criteria tick</text>
    <extLst>
      <x:ext xmlns:xltc2="http://schemas.microsoft.com/office/spreadsheetml/2020/threadedcomments2" uri="{F7C98A9C-CBB3-438F-8F68-D28B6AF4A901}">
        <xltc2:checksum>2288642885</xltc2:checksum>
        <xltc2:hyperlink startIndex="0" length="89" url="https://www.nwlondonicb.nhs.uk/application/files/2416/7664/3313/Laser_Hair_Removal_v7.pdf"/>
      </x:ext>
    </extLst>
  </threadedComment>
  <threadedComment ref="AN71" dT="2025-06-28T09:47:12.27" personId="{95736710-EFA0-493C-AAE5-6E4C07E0F9AD}" id="{DF197CC7-7950-43EE-BA7C-1FEBCA604F89}">
    <text>Says policy removed? “Laser Hair Removal for Excessive Hair Growth including Hirsutism Policy ” https://suffolkandnortheastessex.icb.nhs.uk/about-us/our-policies/</text>
    <extLst>
      <x:ext xmlns:xltc2="http://schemas.microsoft.com/office/spreadsheetml/2020/threadedcomments2" uri="{F7C98A9C-CBB3-438F-8F68-D28B6AF4A901}">
        <xltc2:checksum>1100191413</xltc2:checksum>
        <xltc2:hyperlink startIndex="96" length="66" url="https://suffolkandnortheastessex.icb.nhs.uk/about-us/our-policies/"/>
      </x:ext>
    </extLst>
  </threadedComment>
  <threadedComment ref="J72" dT="2025-06-17T22:42:29.39" personId="{95736710-EFA0-493C-AAE5-6E4C07E0F9AD}" id="{47298FAE-847A-41D9-9B74-53D983C00FE2}">
    <text>Criteria based and IFR https://www.cheshireandmerseyside.nhs.uk/media/o5mheg1t/pol-clin052-hairloss-final-v05.pdf</text>
    <extLst>
      <x:ext xmlns:xltc2="http://schemas.microsoft.com/office/spreadsheetml/2020/threadedcomments2" uri="{F7C98A9C-CBB3-438F-8F68-D28B6AF4A901}">
        <xltc2:checksum>2578085069</xltc2:checksum>
        <xltc2:hyperlink startIndex="23" length="90" url="https://www.cheshireandmerseyside.nhs.uk/media/o5mheg1t/pol-clin052-hairloss-final-v05.pdf"/>
      </x:ext>
    </extLst>
  </threadedComment>
  <threadedComment ref="X72" dT="2025-06-27T09:15:53.41" personId="{95736710-EFA0-493C-AAE5-6E4C07E0F9AD}" id="{E568A88A-18CC-448A-AA72-94CBB33137F8}">
    <text>Provision of wigs: restricted https://www.healthierlsc.co.uk/application/files/4816/8487/3599/LSCICB_Clin43_Policy_for_Cosmetic_Procedures_v3.2.pdf</text>
    <extLst>
      <x:ext xmlns:xltc2="http://schemas.microsoft.com/office/spreadsheetml/2020/threadedcomments2" uri="{F7C98A9C-CBB3-438F-8F68-D28B6AF4A901}">
        <xltc2:checksum>1879028010</xltc2:checksum>
        <xltc2:hyperlink startIndex="30" length="117" url="https://www.healthierlsc.co.uk/application/files/4816/8487/3599/LSCICB_Clin43_Policy_for_Cosmetic_Procedures_v3.2.pdf"/>
      </x:ext>
    </extLst>
  </threadedComment>
  <threadedComment ref="Z72" dT="2025-06-22T22:26:50.37" personId="{95736710-EFA0-493C-AAE5-6E4C07E0F9AD}" id="{DC40CFB4-2F0B-407F-AD08-39F48B80C7F6}">
    <text>Unable to find ref https://lincolnshire.icb.nhs.uk/~documents/icb-publications/our-policies-and-procedures/clinical-governance/cg-003-prior-approval-policy/?layout=file</text>
    <extLst>
      <x:ext xmlns:xltc2="http://schemas.microsoft.com/office/spreadsheetml/2020/threadedcomments2" uri="{F7C98A9C-CBB3-438F-8F68-D28B6AF4A901}">
        <xltc2:checksum>603707427</xltc2:checksum>
        <xltc2:hyperlink startIndex="19" length="149" url="https://lincolnshire.icb.nhs.uk/~documents/icb-publications/our-policies-and-procedures/clinical-governance/cg-003-prior-approval-policy/?layout=file"/>
      </x:ext>
    </extLst>
  </threadedComment>
  <threadedComment ref="AL72" dT="2025-06-26T21:28:48.01" personId="{95736710-EFA0-493C-AAE5-6E4C07E0F9AD}" id="{DCB36BEA-405D-41C3-8E92-97C80D28A374}">
    <text xml:space="preserve">Does this count as exceptional criteria? So criteria or IFR? Hair transplantation will not be routinely commissioned by the NHS for cosmetic reasons, regardless of gender. Hair transplantation may be considered on an exceptional basis, for example when reconstruction of the eyebrow is needed following cancer or trauma. </text>
  </threadedComment>
  <threadedComment ref="AN72" dT="2025-06-28T09:48:23.85" personId="{95736710-EFA0-493C-AAE5-6E4C07E0F9AD}" id="{923EDE6F-D7E1-4298-808E-DE3BFFB587D1}">
    <text>Cannot find ref https://suffolkandnortheastessex.icb.nhs.uk/about-us/our-policies/</text>
    <extLst>
      <x:ext xmlns:xltc2="http://schemas.microsoft.com/office/spreadsheetml/2020/threadedcomments2" uri="{F7C98A9C-CBB3-438F-8F68-D28B6AF4A901}">
        <xltc2:checksum>2744110052</xltc2:checksum>
        <xltc2:hyperlink startIndex="16" length="66" url="https://suffolkandnortheastessex.icb.nhs.uk/about-us/our-policies/"/>
      </x:ext>
    </extLst>
  </threadedComment>
  <threadedComment ref="AQ72" dT="2025-06-28T12:00:49.06" personId="{95736710-EFA0-493C-AAE5-6E4C07E0F9AD}" id="{9329FEF6-DD2C-4A84-B858-10CA0CF5A7FB}">
    <text>Criteria for wigs https://www.wypartnership.co.uk/application/files/7817/3140/4698/Wigs_and_Hair_Replacement_Policy_11_2024.pdf</text>
    <extLst>
      <x:ext xmlns:xltc2="http://schemas.microsoft.com/office/spreadsheetml/2020/threadedcomments2" uri="{F7C98A9C-CBB3-438F-8F68-D28B6AF4A901}">
        <xltc2:checksum>4226405252</xltc2:checksum>
        <xltc2:hyperlink startIndex="18" length="109" url="https://www.wypartnership.co.uk/application/files/7817/3140/4698/Wigs_and_Hair_Replacement_Policy_11_2024.pdf"/>
      </x:ext>
    </extLst>
  </threadedComment>
  <threadedComment ref="AQ72" dT="2025-06-28T12:31:35.35" personId="{95736710-EFA0-493C-AAE5-6E4C07E0F9AD}" id="{C7F38C06-FB0D-48D6-9568-504B1FEC6F59}" parentId="{9329FEF6-DD2C-4A84-B858-10CA0CF5A7FB}">
    <text>“Wigs will be routinely commissioned outside of cancer pathways for the following indications: ” https://www.wypartnership.co.uk/application/files/7817/3140/4698/Wigs_and_Hair_Replacement_Policy_11_2024.pdf</text>
    <extLst>
      <x:ext xmlns:xltc2="http://schemas.microsoft.com/office/spreadsheetml/2020/threadedcomments2" uri="{F7C98A9C-CBB3-438F-8F68-D28B6AF4A901}">
        <xltc2:checksum>3862344753</xltc2:checksum>
        <xltc2:hyperlink startIndex="97" length="109" url="https://www.wypartnership.co.uk/application/files/7817/3140/4698/Wigs_and_Hair_Replacement_Policy_11_2024.pdf"/>
      </x:ext>
    </extLst>
  </threadedComment>
  <threadedComment ref="F73" dT="2025-06-11T22:04:35.49" personId="{95736710-EFA0-493C-AAE5-6E4C07E0F9AD}" id="{F01E2E31-014A-47BF-B161-6CCB5EFA2638}">
    <text>Just checking reference was to acupuncture for headaches https://blackcountry.icb.nhs.uk/have-your-say/get-involved/current-consultations-and-engagement/clinical-policy-review4</text>
    <extLst>
      <x:ext xmlns:xltc2="http://schemas.microsoft.com/office/spreadsheetml/2020/threadedcomments2" uri="{F7C98A9C-CBB3-438F-8F68-D28B6AF4A901}">
        <xltc2:checksum>3899216162</xltc2:checksum>
        <xltc2:hyperlink startIndex="57" length="119" url="https://blackcountry.icb.nhs.uk/have-your-say/get-involved/current-consultations-and-engagement/clinical-policy-review4"/>
      </x:ext>
    </extLst>
  </threadedComment>
  <threadedComment ref="W73" dT="2025-06-24T09:43:01.60" personId="{95736710-EFA0-493C-AAE5-6E4C07E0F9AD}" id="{C6591AFA-8CDB-4E58-8428-885F357C2528}">
    <text>https://www.kentandmedway.icb.nhs.uk/application/files/9817/1292/6708/KM_RaTC_April_2024.pdf “Cluster headache: Restricted (prior approval not required). Migraine and other types of headache: Not routinely funded. ”</text>
    <extLst>
      <x:ext xmlns:xltc2="http://schemas.microsoft.com/office/spreadsheetml/2020/threadedcomments2" uri="{F7C98A9C-CBB3-438F-8F68-D28B6AF4A901}">
        <xltc2:checksum>836762910</xltc2:checksum>
        <xltc2:hyperlink startIndex="0" length="92" url="https://www.kentandmedway.icb.nhs.uk/application/files/9817/1292/6708/KM_RaTC_April_2024.pdf"/>
      </x:ext>
    </extLst>
  </threadedComment>
  <threadedComment ref="AA73" dT="2025-06-27T10:06:13.91" personId="{95736710-EFA0-493C-AAE5-6E4C07E0F9AD}" id="{BA304FDD-3888-4B87-9447-5181A5D55385}">
    <text>Tick - botox for headaches https://www.midandsouthessex.ics.nhs.uk/publications/022-conditions-involving-the-use-of-botulinum-toxin/</text>
    <extLst>
      <x:ext xmlns:xltc2="http://schemas.microsoft.com/office/spreadsheetml/2020/threadedcomments2" uri="{F7C98A9C-CBB3-438F-8F68-D28B6AF4A901}">
        <xltc2:checksum>410736423</xltc2:checksum>
        <xltc2:hyperlink startIndex="27" length="105" url="https://www.midandsouthessex.ics.nhs.uk/publications/022-conditions-involving-the-use-of-botulinum-toxin/"/>
      </x:ext>
    </extLst>
  </threadedComment>
  <threadedComment ref="AB73" dT="2025-06-27T11:11:31.75" personId="{95736710-EFA0-493C-AAE5-6E4C07E0F9AD}" id="{A90EC008-6F76-4440-977B-05A5D1BF0DD0}">
    <text xml:space="preserve">Tick “Acupuncture (Needle therapy for pain relief and other conditions)
Referrals for Acupuncture are considered of low priority and will only be funded by Norfolk and Waveney Integrated Care Board (ICB) in the management of migraines and tension type headaches as per NICE Guidance CG150” https://nwknowledgenow.nhs.uk/content/acupuncture/
</text>
    <extLst>
      <x:ext xmlns:xltc2="http://schemas.microsoft.com/office/spreadsheetml/2020/threadedcomments2" uri="{F7C98A9C-CBB3-438F-8F68-D28B6AF4A901}">
        <xltc2:checksum>2562561564</xltc2:checksum>
        <xltc2:hyperlink startIndex="269" length="19" url="https://www.nice.org.uk/guidance/cg150"/>
        <xltc2:hyperlink startIndex="290" length="50" url="https://nwknowledgenow.nhs.uk/content/acupuncture/"/>
      </x:ext>
    </extLst>
  </threadedComment>
  <threadedComment ref="AL73" dT="2025-06-26T21:29:20.62" personId="{95736710-EFA0-493C-AAE5-6E4C07E0F9AD}" id="{028EFCCA-638A-4A0F-921C-CDB7046D4429}">
    <text>Acupuncture for “Not Routinely Commissioned except for chronic tension type headaches and migraine ” https://syics.co.uk/application/files/5916/8017/2095/FINAL_EBI_CFO_v.24_Final_27_March_2023.pdf</text>
    <extLst>
      <x:ext xmlns:xltc2="http://schemas.microsoft.com/office/spreadsheetml/2020/threadedcomments2" uri="{F7C98A9C-CBB3-438F-8F68-D28B6AF4A901}">
        <xltc2:checksum>2037291175</xltc2:checksum>
        <xltc2:hyperlink startIndex="101" length="95" url="https://syics.co.uk/application/files/5916/8017/2095/FINAL_EBI_CFO_v.24_Final_27_March_2023.pdf"/>
      </x:ext>
    </extLst>
  </threadedComment>
  <threadedComment ref="AL73" dT="2025-06-26T21:29:31.10" personId="{95736710-EFA0-493C-AAE5-6E4C07E0F9AD}" id="{94F4877E-43BE-4C2D-8F5F-7B0D757C6194}" parentId="{028EFCCA-638A-4A0F-921C-CDB7046D4429}">
    <text>So tick?</text>
  </threadedComment>
  <threadedComment ref="K74" dT="2025-06-18T11:00:45.53" personId="{95736710-EFA0-493C-AAE5-6E4C07E0F9AD}" id="{EED2E593-DD4E-4588-A928-8133A24B8098}">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M74" dT="2025-06-18T12:38:42.98" personId="{95736710-EFA0-493C-AAE5-6E4C07E0F9AD}" id="{71A8B311-B7E6-40CA-82CB-641DD804EBA1}">
    <text>IFR https://www.derbyshiremedicinesmanagement.nhs.uk/assets/Clinical-Policies/Clinical_Policies/Cosmetic/cosmetic/Not_Routinely_Commissioned_Cosmetic_Procedures.pdf</text>
    <extLst>
      <x:ext xmlns:xltc2="http://schemas.microsoft.com/office/spreadsheetml/2020/threadedcomments2" uri="{F7C98A9C-CBB3-438F-8F68-D28B6AF4A901}">
        <xltc2:checksum>3432794100</xltc2:checksum>
        <xltc2:hyperlink startIndex="4" length="160" url="https://www.derbyshiremedicinesmanagement.nhs.uk/assets/Clinical-Policies/Clinical_Policies/Cosmetic/cosmetic/Not_Routinely_Commissioned_Cosmetic_Procedures.pdf"/>
      </x:ext>
    </extLst>
  </threadedComment>
  <threadedComment ref="T74" dT="2025-06-22T18:44:00.46" personId="{95736710-EFA0-493C-AAE5-6E4C07E0F9AD}" id="{569D6033-34F6-44AA-A216-E06904F4EF19}">
    <text>IFR https://www.hwics.org.uk/application/files/9117/2733/7780/Helmet_Therapy_ICB_Clinical_Commissioning_Position_Statement_-_Final_September_2024.pdf</text>
    <extLst>
      <x:ext xmlns:xltc2="http://schemas.microsoft.com/office/spreadsheetml/2020/threadedcomments2" uri="{F7C98A9C-CBB3-438F-8F68-D28B6AF4A901}">
        <xltc2:checksum>3706661723</xltc2:checksum>
        <xltc2:hyperlink startIndex="4" length="145" url="https://www.hwics.org.uk/application/files/9117/2733/7780/Helmet_Therapy_ICB_Clinical_Commissioning_Position_Statement_-_Final_September_2024.pdf"/>
      </x:ext>
    </extLst>
  </threadedComment>
  <threadedComment ref="AM74" dT="2025-06-26T22:23:49.48" personId="{95736710-EFA0-493C-AAE5-6E4C07E0F9AD}" id="{D540B376-861E-4ADE-9F6B-01600590DFED}">
    <text xml:space="preserve">IFR - https://staffsstoke.icb.nhs.uk/your-nhs-integrated-care-board/our-publications/governance-handbook/all-policies/commissioning/icb-excluded-and-restricted-procedures-policy-v3-1/?layout=file Cranial Molding Orthosis (Helmet Therapy) </text>
    <extLst>
      <x:ext xmlns:xltc2="http://schemas.microsoft.com/office/spreadsheetml/2020/threadedcomments2" uri="{F7C98A9C-CBB3-438F-8F68-D28B6AF4A901}">
        <xltc2:checksum>1617989886</xltc2:checksum>
        <xltc2:hyperlink startIndex="6" length="189" url="https://staffsstoke.icb.nhs.uk/your-nhs-integrated-care-board/our-publications/governance-handbook/all-policies/commissioning/icb-excluded-and-restricted-procedures-policy-v3-1/?layout=file"/>
      </x:ext>
    </extLst>
  </threadedComment>
  <threadedComment ref="J75" dT="2025-06-17T22:51:01.27" personId="{95736710-EFA0-493C-AAE5-6E4C07E0F9AD}" id="{40B39D79-DC73-44F7-A4F4-4B072D320886}">
    <text>IFR? https://www.cheshireandmerseyside.nhs.uk/media/ft3ljzb3/pol-clin0083-hernia-v1-final.pdf</text>
    <extLst>
      <x:ext xmlns:xltc2="http://schemas.microsoft.com/office/spreadsheetml/2020/threadedcomments2" uri="{F7C98A9C-CBB3-438F-8F68-D28B6AF4A901}">
        <xltc2:checksum>309913241</xltc2:checksum>
        <xltc2:hyperlink startIndex="5" length="88" url="https://www.cheshireandmerseyside.nhs.uk/media/ft3ljzb3/pol-clin0083-hernia-v1-final.pdf"/>
      </x:ext>
    </extLst>
  </threadedComment>
  <threadedComment ref="S75" dT="2025-06-18T21:50:25.88" personId="{95736710-EFA0-493C-AAE5-6E4C07E0F9AD}" id="{A2DEB62B-8C19-4588-88A0-40C253F97039}">
    <text>https://fundingrequests.scwcsu.nhs.uk/wp-content/uploads/2025/03/SERPC-02-Hernia-repair-in-adults-primary-and-recurrent-v1.0-HIOW-ICB.pdf criteria based</text>
    <extLst>
      <x:ext xmlns:xltc2="http://schemas.microsoft.com/office/spreadsheetml/2020/threadedcomments2" uri="{F7C98A9C-CBB3-438F-8F68-D28B6AF4A901}">
        <xltc2:checksum>2971141268</xltc2:checksum>
        <xltc2:hyperlink startIndex="0" length="137" url="https://fundingrequests.scwcsu.nhs.uk/wp-content/uploads/2025/03/SERPC-02-Hernia-repair-in-adults-primary-and-recurrent-v1.0-HIOW-ICB.pdf"/>
      </x:ext>
    </extLst>
  </threadedComment>
  <threadedComment ref="V75" dT="2025-06-22T21:34:27.85" personId="{95736710-EFA0-493C-AAE5-6E4C07E0F9AD}" id="{22BEE028-6CCB-4DB4-BAAB-B29D25D9CE09}">
    <text>Tick https://humberandnorthyorkshire.icb.nhs.uk/wp-content/uploads/2025/04/108-Inguinal-hernia-repair-adults.docx</text>
    <extLst>
      <x:ext xmlns:xltc2="http://schemas.microsoft.com/office/spreadsheetml/2020/threadedcomments2" uri="{F7C98A9C-CBB3-438F-8F68-D28B6AF4A901}">
        <xltc2:checksum>2174134787</xltc2:checksum>
        <xltc2:hyperlink startIndex="5" length="108" url="https://humberandnorthyorkshire.icb.nhs.uk/wp-content/uploads/2025/04/108-Inguinal-hernia-repair-adults.docx"/>
      </x:ext>
    </extLst>
  </threadedComment>
  <threadedComment ref="Z75" dT="2025-06-22T22:29:45.04" personId="{95736710-EFA0-493C-AAE5-6E4C07E0F9AD}" id="{4CEA88B9-38FE-4009-A339-72EC703494D9}">
    <text>Tick prior approval https://lincolnshire.icb.nhs.uk/~documents/icb-publications/our-policies-and-procedures/clinical-governance/cg-003-prior-approval-policy/?layout=file</text>
    <extLst>
      <x:ext xmlns:xltc2="http://schemas.microsoft.com/office/spreadsheetml/2020/threadedcomments2" uri="{F7C98A9C-CBB3-438F-8F68-D28B6AF4A901}">
        <xltc2:checksum>2526249115</xltc2:checksum>
        <xltc2:hyperlink startIndex="20" length="149" url="https://lincolnshire.icb.nhs.uk/~documents/icb-publications/our-policies-and-procedures/clinical-governance/cg-003-prior-approval-policy/?layout=file"/>
      </x:ext>
    </extLst>
  </threadedComment>
  <threadedComment ref="E76" dT="2025-06-11T19:03:26.44" personId="{95736710-EFA0-493C-AAE5-6E4C07E0F9AD}" id="{652A9CAC-BE70-4AB9-8819-F3AA52B707D8}">
    <text>Should be a tick https://www.birminghamsolihull.icb.nhs.uk/application/files/8916/4872/3487/MRI_scan_of_the_hip_for_arthritis.pdf</text>
    <extLst>
      <x:ext xmlns:xltc2="http://schemas.microsoft.com/office/spreadsheetml/2020/threadedcomments2" uri="{F7C98A9C-CBB3-438F-8F68-D28B6AF4A901}">
        <xltc2:checksum>4058415148</xltc2:checksum>
        <xltc2:hyperlink startIndex="17" length="112" url="https://www.birminghamsolihull.icb.nhs.uk/application/files/8916/4872/3487/MRI_scan_of_the_hip_for_arthritis.pdf"/>
      </x:ext>
    </extLst>
  </threadedComment>
  <threadedComment ref="F76" dT="2025-06-11T22:07:11.46" personId="{95736710-EFA0-493C-AAE5-6E4C07E0F9AD}" id="{B69B94B5-EEE5-4B6F-A24F-0A10A4F6BF12}">
    <text>The Black Country ICB will not routinely fund MRI scan of the hip within primary care to diagnose osteoarthritis.
The Black Country ICB will fund MRI scan of the hip when there are concerns that there are other causes for the patient’s symptoms.
An MRI of the hip will be funded in any of the following circumstances (whether the patient has suspected or confirmed osteoarthritis of the hip or not):
There has been trauma to the hip and there is worsening of symptoms.
The patient has a history of cancer or corresponding risk factors and there is a suspicion that bone metastases might explain the patient’s symptoms.
An infection is suspected.
There is a suggesting of mechanical, impingement type symptoms.
Prolonged / morning stiffness particularly if there is a family history of inflammatory arthropathies.
When osteonecrosis / avascular necrosis of the hip is suspected.
When transient osteoporosis is suspected.
When periarticular soft tissue pathology e.g., abductor tendinopathy is suspected
https://blackcountry.icb.nhs.uk/have-your-say/get-involved/current-consultations-and-engagement/clinical-policy-review2</text>
    <extLst>
      <x:ext xmlns:xltc2="http://schemas.microsoft.com/office/spreadsheetml/2020/threadedcomments2" uri="{F7C98A9C-CBB3-438F-8F68-D28B6AF4A901}">
        <xltc2:checksum>2188284573</xltc2:checksum>
        <xltc2:hyperlink startIndex="1002" length="119" url="https://blackcountry.icb.nhs.uk/have-your-say/get-involved/current-consultations-and-engagement/clinical-policy-review2"/>
      </x:ext>
    </extLst>
  </threadedComment>
  <threadedComment ref="O76" dT="2025-06-18T15:23:40.71" personId="{95736710-EFA0-493C-AAE5-6E4C07E0F9AD}" id="{CD47F3BD-8BC5-4C54-ACDF-E1F2AEE4D21D}">
    <text>Criteria based https://nhsdorset.nhs.uk/wp-content/uploads/2023/10/NHS-Dorset-EBI-MRI-scan-of-the-hip-for-arthritis.pdf</text>
    <extLst>
      <x:ext xmlns:xltc2="http://schemas.microsoft.com/office/spreadsheetml/2020/threadedcomments2" uri="{F7C98A9C-CBB3-438F-8F68-D28B6AF4A901}">
        <xltc2:checksum>862830676</xltc2:checksum>
        <xltc2:hyperlink startIndex="15" length="104" url="https://nhsdorset.nhs.uk/wp-content/uploads/2023/10/NHS-Dorset-EBI-MRI-scan-of-the-hip-for-arthritis.pdf"/>
      </x:ext>
    </extLst>
  </threadedComment>
  <threadedComment ref="R76" dT="2025-06-18T19:55:45.88" personId="{95736710-EFA0-493C-AAE5-6E4C07E0F9AD}" id="{9F624B52-8B80-4FC0-ABBC-F919A4AF4438}">
    <text>https://www.aomrc.org.uk/wp-content/uploads/2020/12/EBI_list2_guidance_150321.pdf EBI</text>
    <extLst>
      <x:ext xmlns:xltc2="http://schemas.microsoft.com/office/spreadsheetml/2020/threadedcomments2" uri="{F7C98A9C-CBB3-438F-8F68-D28B6AF4A901}">
        <xltc2:checksum>2225303008</xltc2:checksum>
        <xltc2:hyperlink startIndex="0" length="81" url="https://www.aomrc.org.uk/wp-content/uploads/2020/12/EBI_list2_guidance_150321.pdf"/>
      </x:ext>
    </extLst>
  </threadedComment>
  <threadedComment ref="T76" dT="2025-06-22T18:09:52.26" personId="{95736710-EFA0-493C-AAE5-6E4C07E0F9AD}" id="{A92D16F4-C971-43C9-B9BF-A8FF92CFE6B6}">
    <text>“NHS England EBI contractual requirements confirm that MRI should not routinely be undertaken in any setting where clinical assessment is indicative of osteoarthritis (OA) and plain radiographs demonstrate typical OA features. ” https://www.hwics.org.uk/application/files/2117/0904/4510/ICB_MSK_Surgery_and_Therapy_V1.5_Final_6.pdf</text>
    <extLst>
      <x:ext xmlns:xltc2="http://schemas.microsoft.com/office/spreadsheetml/2020/threadedcomments2" uri="{F7C98A9C-CBB3-438F-8F68-D28B6AF4A901}">
        <xltc2:checksum>3387496475</xltc2:checksum>
        <xltc2:hyperlink startIndex="229" length="102" url="https://www.hwics.org.uk/application/files/2117/0904/4510/ICB_MSK_Surgery_and_Therapy_V1.5_Final_6.pdf"/>
      </x:ext>
    </extLst>
  </threadedComment>
  <threadedComment ref="T76" dT="2025-06-22T18:10:07.69" personId="{95736710-EFA0-493C-AAE5-6E4C07E0F9AD}" id="{9FB75C2B-BE78-422E-8586-18391322D1B5}" parentId="{A92D16F4-C971-43C9-B9BF-A8FF92CFE6B6}">
    <text>? Therefore IFR</text>
  </threadedComment>
  <threadedComment ref="U76" dT="2025-06-22T20:09:46.13" personId="{95736710-EFA0-493C-AAE5-6E4C07E0F9AD}" id="{76DBBC96-420E-4455-A44F-DB7533764E59}">
    <text>Tick https://www.hweclinicalguidance.nhs.uk/all-clinical-areas-documents/search-results/hip-pain/</text>
    <extLst>
      <x:ext xmlns:xltc2="http://schemas.microsoft.com/office/spreadsheetml/2020/threadedcomments2" uri="{F7C98A9C-CBB3-438F-8F68-D28B6AF4A901}">
        <xltc2:checksum>2936616546</xltc2:checksum>
        <xltc2:hyperlink startIndex="5" length="92" url="https://www.hweclinicalguidance.nhs.uk/all-clinical-areas-documents/search-results/hip-pain/"/>
      </x:ext>
    </extLst>
  </threadedComment>
  <threadedComment ref="W76" dT="2025-06-24T09:43:43.65" personId="{95736710-EFA0-493C-AAE5-6E4C07E0F9AD}" id="{60F55956-D69F-4407-88D2-DD22216A2807}">
    <text>Tick “Hip MRI for arthritis” https://www.kentandmedway.icb.nhs.uk/application/files/9817/1292/6708/KM_RaTC_April_2024.pdf</text>
    <extLst>
      <x:ext xmlns:xltc2="http://schemas.microsoft.com/office/spreadsheetml/2020/threadedcomments2" uri="{F7C98A9C-CBB3-438F-8F68-D28B6AF4A901}">
        <xltc2:checksum>3463898015</xltc2:checksum>
        <xltc2:hyperlink startIndex="29" length="92" url="https://www.kentandmedway.icb.nhs.uk/application/files/9817/1292/6708/KM_RaTC_April_2024.pdf"/>
      </x:ext>
    </extLst>
  </threadedComment>
  <threadedComment ref="Z76" dT="2025-06-22T22:30:16.47" personId="{95736710-EFA0-493C-AAE5-6E4C07E0F9AD}" id="{60BC7C4D-9935-4B90-99EF-A72D1207621F}">
    <text>Should be tick EBI https://lincolnshire.icb.nhs.uk/~documents/icb-publications/our-policies-and-procedures/clinical-governance/cg-003-prior-approval-policy/?layout=file</text>
    <extLst>
      <x:ext xmlns:xltc2="http://schemas.microsoft.com/office/spreadsheetml/2020/threadedcomments2" uri="{F7C98A9C-CBB3-438F-8F68-D28B6AF4A901}">
        <xltc2:checksum>1142676725</xltc2:checksum>
        <xltc2:hyperlink startIndex="19" length="149" url="https://lincolnshire.icb.nhs.uk/~documents/icb-publications/our-policies-and-procedures/clinical-governance/cg-003-prior-approval-policy/?layout=file"/>
      </x:ext>
    </extLst>
  </threadedComment>
  <threadedComment ref="AI76" dT="2025-06-26T20:19:25.11" personId="{95736710-EFA0-493C-AAE5-6E4C07E0F9AD}" id="{95947E08-D7AB-47AF-8BAE-5599529A2D23}">
    <text xml:space="preserve">Tick - “MRI Scan of the Hip for Arthritis” </text>
  </threadedComment>
  <threadedComment ref="V77" dT="2025-06-22T21:31:27.90" personId="{95736710-EFA0-493C-AAE5-6E4C07E0F9AD}" id="{C6BBA418-557D-43F2-8E7B-D7A493856997}">
    <text>Tick https://humberandnorthyorkshire.icb.nhs.uk/wp-content/uploads/2025/04/124-Hip-and-Knee-Replacement-Surgery.docx</text>
    <extLst>
      <x:ext xmlns:xltc2="http://schemas.microsoft.com/office/spreadsheetml/2020/threadedcomments2" uri="{F7C98A9C-CBB3-438F-8F68-D28B6AF4A901}">
        <xltc2:checksum>3192457654</xltc2:checksum>
        <xltc2:hyperlink startIndex="5" length="111" url="https://humberandnorthyorkshire.icb.nhs.uk/wp-content/uploads/2025/04/124-Hip-and-Knee-Replacement-Surgery.docx"/>
      </x:ext>
    </extLst>
  </threadedComment>
  <threadedComment ref="U78" dT="2025-06-22T20:10:38.73" personId="{95736710-EFA0-493C-AAE5-6E4C07E0F9AD}" id="{B26E0832-1406-401C-AFF3-238BA8371DA4}">
    <text>Tick https://www.hweclinicalguidance.nhs.uk/all-clinical-areas-documents/search-results/oxygen/</text>
    <extLst>
      <x:ext xmlns:xltc2="http://schemas.microsoft.com/office/spreadsheetml/2020/threadedcomments2" uri="{F7C98A9C-CBB3-438F-8F68-D28B6AF4A901}">
        <xltc2:checksum>4173660126</xltc2:checksum>
        <xltc2:hyperlink startIndex="5" length="90" url="https://www.hweclinicalguidance.nhs.uk/all-clinical-areas-documents/search-results/oxygen/"/>
      </x:ext>
    </extLst>
  </threadedComment>
  <threadedComment ref="Z79" dT="2025-06-22T22:31:04.89" personId="{95736710-EFA0-493C-AAE5-6E4C07E0F9AD}" id="{1AAE5AE0-079E-4AE0-8166-8C256FE92D8F}">
    <text>IFR https://lincolnshire.icb.nhs.uk/~documents/icb-publications/our-policies-and-procedures/clinical-governance/cg-003-prior-approval-policy/?layout=file</text>
    <extLst>
      <x:ext xmlns:xltc2="http://schemas.microsoft.com/office/spreadsheetml/2020/threadedcomments2" uri="{F7C98A9C-CBB3-438F-8F68-D28B6AF4A901}">
        <xltc2:checksum>2675990717</xltc2:checksum>
        <xltc2:hyperlink startIndex="4" length="149" url="https://lincolnshire.icb.nhs.uk/~documents/icb-publications/our-policies-and-procedures/clinical-governance/cg-003-prior-approval-policy/?layout=file"/>
      </x:ext>
    </extLst>
  </threadedComment>
  <threadedComment ref="D81" dT="2025-06-11T14:45:42.74" personId="{95736710-EFA0-493C-AAE5-6E4C07E0F9AD}" id="{221B3412-5685-42C8-86CF-B96C2B0392AF}">
    <text>Looks like part of pathway? https://bedfordshirelutonandmiltonkeynes.icb.nhs.uk/~documents/policies/evidence-based-clinical-policies/heavy-menstrual-bleeding</text>
    <extLst>
      <x:ext xmlns:xltc2="http://schemas.microsoft.com/office/spreadsheetml/2020/threadedcomments2" uri="{F7C98A9C-CBB3-438F-8F68-D28B6AF4A901}">
        <xltc2:checksum>3419651690</xltc2:checksum>
        <xltc2:hyperlink startIndex="28" length="129" url="https://bedfordshirelutonandmiltonkeynes.icb.nhs.uk/~documents/policies/evidence-based-clinical-policies/heavy-menstrual-bleeding"/>
      </x:ext>
    </extLst>
  </threadedComment>
  <threadedComment ref="I81" dT="2025-06-17T22:20:18.28" personId="{95736710-EFA0-493C-AAE5-6E4C07E0F9AD}" id="{3D21A64E-DCFD-4292-B98D-C921DFCE6890}">
    <text>Should be a tick https://www.cpics.org.uk/download.cfm?doc=docm93jijm4n1152.pdf&amp;ver=2100</text>
    <extLst>
      <x:ext xmlns:xltc2="http://schemas.microsoft.com/office/spreadsheetml/2020/threadedcomments2" uri="{F7C98A9C-CBB3-438F-8F68-D28B6AF4A901}">
        <xltc2:checksum>3686078530</xltc2:checksum>
        <xltc2:hyperlink startIndex="17" length="71" url="https://www.cpics.org.uk/download.cfm?doc=docm93jijm4n1152.pdf&amp;ver=2100"/>
      </x:ext>
    </extLst>
  </threadedComment>
  <threadedComment ref="K81" dT="2025-06-18T11:01:54.02" personId="{95736710-EFA0-493C-AAE5-6E4C07E0F9AD}" id="{D485D7CD-6D26-4B28-88EB-A050B8E4692C}">
    <text xml:space="preserve">https://docs.cios.icb.nhs.uk/DocumentsLibrary/NHSCornwallAndIslesOfScilly/Services/IndividualFundingRequests/CommissioningPolicies.pdf Ultrasound scans and camera tests with sampling of the lining of the womb (hysteroscopy and biopsy) can be used to investigate heavy periods. </text>
    <extLst>
      <x:ext xmlns:xltc2="http://schemas.microsoft.com/office/spreadsheetml/2020/threadedcomments2" uri="{F7C98A9C-CBB3-438F-8F68-D28B6AF4A901}">
        <xltc2:checksum>2846683967</xltc2:checksum>
        <xltc2:hyperlink startIndex="0" length="134" url="https://docs.cios.icb.nhs.uk/DocumentsLibrary/NHSCornwallAndIslesOfScilly/Services/IndividualFundingRequests/CommissioningPolicies.pdf"/>
      </x:ext>
    </extLst>
  </threadedComment>
  <threadedComment ref="L81" dT="2025-06-18T11:50:21.10" personId="{95736710-EFA0-493C-AAE5-6E4C07E0F9AD}" id="{40FD1A67-2FEA-4AAB-B5B7-8940C6276E53}">
    <text>For women with submucosal fibroids, consider hysteroscopic removal. https://www.happyhealthylives.uk/clientfiles/files/document_library/Hysterectomy%20for%20Menorrhagia%20Policy.pdf</text>
    <extLst>
      <x:ext xmlns:xltc2="http://schemas.microsoft.com/office/spreadsheetml/2020/threadedcomments2" uri="{F7C98A9C-CBB3-438F-8F68-D28B6AF4A901}">
        <xltc2:checksum>2782474054</xltc2:checksum>
        <xltc2:hyperlink startIndex="68" length="113" url="https://www.happyhealthylives.uk/clientfiles/files/document_library/Hysterectomy%20for%20Menorrhagia%20Policy.pdf"/>
      </x:ext>
    </extLst>
  </threadedComment>
  <threadedComment ref="O81" dT="2025-06-18T15:13:55.11" personId="{95736710-EFA0-493C-AAE5-6E4C07E0F9AD}" id="{CEAFD626-D347-46D4-ABEC-1578CC9BEEFB}">
    <text>For women with submucosal fibroids, consider hysteroscopic removal. https://nhsdorset.nhs.uk/wp-content/uploads/2023/12/NHS-Dorset-EBI-Hysterectomy-for-heavy-menstrual-bleeding.pdf - criteria based?</text>
    <extLst>
      <x:ext xmlns:xltc2="http://schemas.microsoft.com/office/spreadsheetml/2020/threadedcomments2" uri="{F7C98A9C-CBB3-438F-8F68-D28B6AF4A901}">
        <xltc2:checksum>1391595823</xltc2:checksum>
        <xltc2:hyperlink startIndex="68" length="112" url="https://nhsdorset.nhs.uk/wp-content/uploads/2023/12/NHS-Dorset-EBI-Hysterectomy-for-heavy-menstrual-bleeding.pdf"/>
      </x:ext>
    </extLst>
  </threadedComment>
  <threadedComment ref="T81" dT="2025-06-22T18:21:06.37" personId="{95736710-EFA0-493C-AAE5-6E4C07E0F9AD}" id="{97A3D53A-6C68-4927-AAF2-A2C3C139C542}">
    <text>Tick https://www.hwics.org.uk/application/files/4417/3210/9783/ICB_Hysterectomy_for_HMB_Commissioning_Policy_V2.1_final.pdf</text>
    <extLst>
      <x:ext xmlns:xltc2="http://schemas.microsoft.com/office/spreadsheetml/2020/threadedcomments2" uri="{F7C98A9C-CBB3-438F-8F68-D28B6AF4A901}">
        <xltc2:checksum>3536169426</xltc2:checksum>
        <xltc2:hyperlink startIndex="5" length="118" url="https://www.hwics.org.uk/application/files/4417/3210/9783/ICB_Hysterectomy_for_HMB_Commissioning_Policy_V2.1_final.pdf"/>
      </x:ext>
    </extLst>
  </threadedComment>
  <threadedComment ref="U81" dT="2025-06-22T20:11:35.19" personId="{95736710-EFA0-493C-AAE5-6E4C07E0F9AD}" id="{E48B6D1C-DD91-4026-AF09-56924DD6783F}">
    <text>https://www.hweclinicalguidance.nhs.uk/all-clinical-areas-documents/search-results/hysterectomy-for-heavy-menstrual-bleeding/ “1.5.10 For women with submucosal fibroids, consider hysteroscopic removal.  ”</text>
    <extLst>
      <x:ext xmlns:xltc2="http://schemas.microsoft.com/office/spreadsheetml/2020/threadedcomments2" uri="{F7C98A9C-CBB3-438F-8F68-D28B6AF4A901}">
        <xltc2:checksum>3282362600</xltc2:checksum>
        <xltc2:hyperlink startIndex="0" length="125" url="https://www.hweclinicalguidance.nhs.uk/all-clinical-areas-documents/search-results/hysterectomy-for-heavy-menstrual-bleeding/"/>
      </x:ext>
    </extLst>
  </threadedComment>
  <threadedComment ref="W81" dT="2025-06-24T09:45:12.41" personId="{95736710-EFA0-493C-AAE5-6E4C07E0F9AD}" id="{19897D95-3DD2-43E8-8C5E-008E7DBAC6A0}">
    <text>Tick “• Surgical interventions funded for this patient group are second-generation endometrial ablation, hysteroscopic removal**, and hysterectomy following informed consent after a documented discussion covering the issues outlined above. ” https://www.kentandmedway.icb.nhs.uk/application/files/9817/1292/6708/KM_RaTC_April_2024.pdf</text>
    <extLst>
      <x:ext xmlns:xltc2="http://schemas.microsoft.com/office/spreadsheetml/2020/threadedcomments2" uri="{F7C98A9C-CBB3-438F-8F68-D28B6AF4A901}">
        <xltc2:checksum>3993949332</xltc2:checksum>
        <xltc2:hyperlink startIndex="242" length="92" url="https://www.kentandmedway.icb.nhs.uk/application/files/9817/1292/6708/KM_RaTC_April_2024.pdf"/>
      </x:ext>
    </extLst>
  </threadedComment>
  <threadedComment ref="X81" dT="2025-06-27T09:10:17.46" personId="{95736710-EFA0-493C-AAE5-6E4C07E0F9AD}" id="{431098D2-2AC7-4192-ACD0-9E8B6A878124}">
    <text>Tick - https://www.healthierlsc.co.uk/application/files/7116/8487/3598/LSCICB_Clin41_Policy_for_Hysteroscopy_v2.1.pdf</text>
    <extLst>
      <x:ext xmlns:xltc2="http://schemas.microsoft.com/office/spreadsheetml/2020/threadedcomments2" uri="{F7C98A9C-CBB3-438F-8F68-D28B6AF4A901}">
        <xltc2:checksum>414858567</xltc2:checksum>
        <xltc2:hyperlink startIndex="7" length="110" url="https://www.healthierlsc.co.uk/application/files/7116/8487/3598/LSCICB_Clin41_Policy_for_Hysteroscopy_v2.1.pdf"/>
      </x:ext>
    </extLst>
  </threadedComment>
  <threadedComment ref="Z81" dT="2025-06-22T22:31:48.26" personId="{95736710-EFA0-493C-AAE5-6E4C07E0F9AD}" id="{5280FCBF-4F81-4063-B281-BEDE9D5550A1}">
    <text>Tick https://lincolnshire.icb.nhs.uk/~documents/icb-publications/our-policies-and-procedures/clinical-governance/cg-003-prior-approval-policy/?layout=file mention under D&amp;C</text>
    <extLst>
      <x:ext xmlns:xltc2="http://schemas.microsoft.com/office/spreadsheetml/2020/threadedcomments2" uri="{F7C98A9C-CBB3-438F-8F68-D28B6AF4A901}">
        <xltc2:checksum>3622814345</xltc2:checksum>
        <xltc2:hyperlink startIndex="5" length="149" url="https://lincolnshire.icb.nhs.uk/~documents/icb-publications/our-policies-and-procedures/clinical-governance/cg-003-prior-approval-policy/?layout=file"/>
      </x:ext>
    </extLst>
  </threadedComment>
  <threadedComment ref="AA81" dT="2025-06-27T10:27:41.57" personId="{95736710-EFA0-493C-AAE5-6E4C07E0F9AD}" id="{B9D48696-0132-4014-BD22-DB9BA2878150}">
    <text>“Hysteroscopic mechanical tissue removal (hysteroscopic morcellation) for uterine fibroids  ” - IFR https://www.midandsouthessex.ics.nhs.uk/publications/srp-058-heavy-menstrual-bleeding-including-uterine-fibroids/</text>
    <extLst>
      <x:ext xmlns:xltc2="http://schemas.microsoft.com/office/spreadsheetml/2020/threadedcomments2" uri="{F7C98A9C-CBB3-438F-8F68-D28B6AF4A901}">
        <xltc2:checksum>1641008185</xltc2:checksum>
        <xltc2:hyperlink startIndex="100" length="113" url="https://www.midandsouthessex.ics.nhs.uk/publications/srp-058-heavy-menstrual-bleeding-including-uterine-fibroids/"/>
      </x:ext>
    </extLst>
  </threadedComment>
  <threadedComment ref="AA81" dT="2025-06-27T10:30:37.44" personId="{95736710-EFA0-493C-AAE5-6E4C07E0F9AD}" id="{87414CE7-63BA-435D-AD66-B4F9B1A6FBD0}" parentId="{B9D48696-0132-4014-BD22-DB9BA2878150}">
    <text>Also tick https://www.midandsouthessex.ics.nhs.uk/publications/064-hysteroscopy-dilatation-and-curettage-dc/</text>
    <extLst>
      <x:ext xmlns:xltc2="http://schemas.microsoft.com/office/spreadsheetml/2020/threadedcomments2" uri="{F7C98A9C-CBB3-438F-8F68-D28B6AF4A901}">
        <xltc2:checksum>3012713326</xltc2:checksum>
        <xltc2:hyperlink startIndex="10" length="98" url="https://www.midandsouthessex.ics.nhs.uk/publications/064-hysteroscopy-dilatation-and-curettage-dc/"/>
      </x:ext>
    </extLst>
  </threadedComment>
  <threadedComment ref="AE81" dT="2025-06-26T14:59:38.86" personId="{95736710-EFA0-493C-AAE5-6E4C07E0F9AD}" id="{A2EFF515-54A8-4AD1-AE8F-28C50095AB9C}">
    <text>For women with submucosal fibroids, consider hysteroscopic removal https://primarycare.northeastlondon.icb.nhs.uk/wp-content/uploads/2024/05/NEL-EBI-Policy-Version-2.2-Final.pdf</text>
    <extLst>
      <x:ext xmlns:xltc2="http://schemas.microsoft.com/office/spreadsheetml/2020/threadedcomments2" uri="{F7C98A9C-CBB3-438F-8F68-D28B6AF4A901}">
        <xltc2:checksum>1525030376</xltc2:checksum>
        <xltc2:hyperlink startIndex="67" length="110" url="https://primarycare.northeastlondon.icb.nhs.uk/wp-content/uploads/2024/05/NEL-EBI-Policy-Version-2.2-Final.pdf"/>
      </x:ext>
    </extLst>
  </threadedComment>
  <threadedComment ref="AH81" dT="2025-06-26T19:30:40.15" personId="{95736710-EFA0-493C-AAE5-6E4C07E0F9AD}" id="{B8F73EAF-4DDA-4786-9712-73F8429562DF}">
    <text xml:space="preserve">IFR/ tick - D&amp;C (including hysteroscopy) is not commissioned as a diagnostic tool or as a therapeutic treatment for menorrhagia. It may be commissioned in the following cases: • As an investigation for structural and histological abnormalities where hysteroscopy and ultrasound has been used as a first line diagnostic tool and where the outcomes are inconclusive. • Post-dilatation, pre-procedure when undertaking endometrial ablation. https://notts.icb.nhs.uk/wp-content/uploads/sites/2/2022/04/Value-Based-Commissioning-PolicyV1.4-2.pdf </text>
    <extLst>
      <x:ext xmlns:xltc2="http://schemas.microsoft.com/office/spreadsheetml/2020/threadedcomments2" uri="{F7C98A9C-CBB3-438F-8F68-D28B6AF4A901}">
        <xltc2:checksum>298252733</xltc2:checksum>
        <xltc2:hyperlink startIndex="437" length="102" url="https://notts.icb.nhs.uk/wp-content/uploads/sites/2/2022/04/Value-Based-Commissioning-PolicyV1.4-2.pdf"/>
      </x:ext>
    </extLst>
  </threadedComment>
  <threadedComment ref="AJ81" dT="2025-06-27T23:12:33.48" personId="{95736710-EFA0-493C-AAE5-6E4C07E0F9AD}" id="{B32C80EC-3942-4274-91BB-E11DD9F37B57}">
    <text>Ref to hysteroscopy for fibroids https://nhssomerset.nhs.uk/wp-content/uploads/sites/2/Hysterectomy-for-Menorrhagia-CBA-Policy-2425.v2c-20240624.pdf</text>
    <extLst>
      <x:ext xmlns:xltc2="http://schemas.microsoft.com/office/spreadsheetml/2020/threadedcomments2" uri="{F7C98A9C-CBB3-438F-8F68-D28B6AF4A901}">
        <xltc2:checksum>3521634231</xltc2:checksum>
        <xltc2:hyperlink startIndex="33" length="115" url="https://nhssomerset.nhs.uk/wp-content/uploads/sites/2/Hysterectomy-for-Menorrhagia-CBA-Policy-2425.v2c-20240624.pdf"/>
      </x:ext>
    </extLst>
  </threadedComment>
  <threadedComment ref="AN81" dT="2025-06-28T09:51:27.56" personId="{95736710-EFA0-493C-AAE5-6E4C07E0F9AD}" id="{56991089-05A9-4EAB-92A8-CBC39606C786}">
    <text>Tick - covered under “Dilatation and curettage (D&amp;C) for heavy menstrual bleeding”  https://suffolkandnortheastessex.icb.nhs.uk/about-us/our-policies/</text>
    <extLst>
      <x:ext xmlns:xltc2="http://schemas.microsoft.com/office/spreadsheetml/2020/threadedcomments2" uri="{F7C98A9C-CBB3-438F-8F68-D28B6AF4A901}">
        <xltc2:checksum>4013240871</xltc2:checksum>
        <xltc2:hyperlink startIndex="84" length="66" url="https://suffolkandnortheastessex.icb.nhs.uk/about-us/our-policies/"/>
      </x:ext>
    </extLst>
  </threadedComment>
  <threadedComment ref="AO81" dT="2025-06-28T10:43:31.17" personId="{95736710-EFA0-493C-AAE5-6E4C07E0F9AD}" id="{F93F8CE8-C696-49B0-AADC-B50C860F7C1E}">
    <text>?Tick - mentioned under “dilatation and curettage” https://www.surreyheartlands.org/tnrf2-gynaecology</text>
    <extLst>
      <x:ext xmlns:xltc2="http://schemas.microsoft.com/office/spreadsheetml/2020/threadedcomments2" uri="{F7C98A9C-CBB3-438F-8F68-D28B6AF4A901}">
        <xltc2:checksum>1567089043</xltc2:checksum>
        <xltc2:hyperlink startIndex="51" length="50" url="https://www.surreyheartlands.org/tnrf2-gynaecology"/>
      </x:ext>
    </extLst>
  </threadedComment>
  <threadedComment ref="AO81" dT="2025-06-28T10:46:17.98" personId="{95736710-EFA0-493C-AAE5-6E4C07E0F9AD}" id="{16727C39-E0AF-4B04-8CC1-4DA0A86D2663}" parentId="{F93F8CE8-C696-49B0-AADC-B50C860F7C1E}">
    <text>Also under hysterectomy policy “Section 1.5.10 states: for women with submucosal fibroids, consider hysteroscopic removal. “ https://www.surreyheartlands.org/tnrf2-gynaecology</text>
    <extLst>
      <x:ext xmlns:xltc2="http://schemas.microsoft.com/office/spreadsheetml/2020/threadedcomments2" uri="{F7C98A9C-CBB3-438F-8F68-D28B6AF4A901}">
        <xltc2:checksum>3575707225</xltc2:checksum>
        <xltc2:hyperlink startIndex="125" length="50" url="https://www.surreyheartlands.org/tnrf2-gynaecology"/>
      </x:ext>
    </extLst>
  </threadedComment>
  <threadedComment ref="AP81" dT="2025-06-26T23:41:26.78" personId="{95736710-EFA0-493C-AAE5-6E4C07E0F9AD}" id="{DABF661D-0E08-404A-B18A-B8944D616082}">
    <text>Tick - “Ultrasound scans and camera tests with sampling of the lining of the womb (hysteroscopy and biopsy) can be used to investigate heavy periods. ” https://int.sussex.ics.nhs.uk/clinical_documents/sussex-cec-clinical-policy/</text>
    <extLst>
      <x:ext xmlns:xltc2="http://schemas.microsoft.com/office/spreadsheetml/2020/threadedcomments2" uri="{F7C98A9C-CBB3-438F-8F68-D28B6AF4A901}">
        <xltc2:checksum>3704238996</xltc2:checksum>
        <xltc2:hyperlink startIndex="152" length="76" url="https://int.sussex.ics.nhs.uk/clinical_documents/sussex-cec-clinical-policy/"/>
      </x:ext>
    </extLst>
  </threadedComment>
  <threadedComment ref="AQ81" dT="2025-06-28T11:54:03.80" personId="{95736710-EFA0-493C-AAE5-6E4C07E0F9AD}" id="{CB9EAA16-B173-47D4-9D97-3712DBE776FA}">
    <text>Tick - part of D&amp;C guidance https://www.wypartnership.co.uk/application/files/7315/6760/0089/NHSE_EBI_Dilation_and_curettage_DC.pdf</text>
    <extLst>
      <x:ext xmlns:xltc2="http://schemas.microsoft.com/office/spreadsheetml/2020/threadedcomments2" uri="{F7C98A9C-CBB3-438F-8F68-D28B6AF4A901}">
        <xltc2:checksum>3158910733</xltc2:checksum>
        <xltc2:hyperlink startIndex="28" length="103" url="https://www.wypartnership.co.uk/application/files/7315/6760/0089/NHSE_EBI_Dilation_and_curettage_DC.pdf"/>
      </x:ext>
    </extLst>
  </threadedComment>
  <threadedComment ref="T82" dT="2025-06-22T18:46:11.71" personId="{95736710-EFA0-493C-AAE5-6E4C07E0F9AD}" id="{7825161E-E3C5-482D-B7FD-BDF87C1BBED8}">
    <text>Tick https://www.hwics.org.uk/application/files/2217/1776/3098/Paediatric_Allergic_Rhinitis_Pathway_v1.0_07062024.pdf</text>
    <extLst>
      <x:ext xmlns:xltc2="http://schemas.microsoft.com/office/spreadsheetml/2020/threadedcomments2" uri="{F7C98A9C-CBB3-438F-8F68-D28B6AF4A901}">
        <xltc2:checksum>1956382494</xltc2:checksum>
        <xltc2:hyperlink startIndex="5" length="112" url="https://www.hwics.org.uk/application/files/2217/1776/3098/Paediatric_Allergic_Rhinitis_Pathway_v1.0_07062024.pdf"/>
      </x:ext>
    </extLst>
  </threadedComment>
  <threadedComment ref="I83" dT="2025-06-17T22:20:18.28" personId="{95736710-EFA0-493C-AAE5-6E4C07E0F9AD}" id="{3D21A64E-DCFD-4293-B98D-C921DFCE6890}">
    <text>Should be a tick https://www.cpics.org.uk/download.cfm?doc=docm93jijm4n1152.pdf&amp;ver=2100</text>
    <extLst>
      <x:ext xmlns:xltc2="http://schemas.microsoft.com/office/spreadsheetml/2020/threadedcomments2" uri="{F7C98A9C-CBB3-438F-8F68-D28B6AF4A901}">
        <xltc2:checksum>3686078530</xltc2:checksum>
        <xltc2:hyperlink startIndex="17" length="71" url="https://www.cpics.org.uk/download.cfm?doc=docm93jijm4n1152.pdf&amp;ver=2100"/>
      </x:ext>
    </extLst>
  </threadedComment>
  <threadedComment ref="Q84" dT="2025-06-18T16:50:00.22" personId="{95736710-EFA0-493C-AAE5-6E4C07E0F9AD}" id="{05AE7ED0-2403-4C71-91F7-A5D92911D96D}">
    <text>IFR https://www.nhsglos.nhs.uk/wp-content/uploads/2023/07/Cosmetic-Procedures-General-Principles.pdf</text>
    <extLst>
      <x:ext xmlns:xltc2="http://schemas.microsoft.com/office/spreadsheetml/2020/threadedcomments2" uri="{F7C98A9C-CBB3-438F-8F68-D28B6AF4A901}">
        <xltc2:checksum>2463861332</xltc2:checksum>
        <xltc2:hyperlink startIndex="4" length="96" url="https://www.nhsglos.nhs.uk/wp-content/uploads/2023/07/Cosmetic-Procedures-General-Principles.pdf"/>
      </x:ext>
    </extLst>
  </threadedComment>
  <threadedComment ref="Q84" dT="2025-06-18T16:56:06.46" personId="{95736710-EFA0-493C-AAE5-6E4C07E0F9AD}" id="{4DD24608-58F8-4202-AE7B-ACE0A8C95689}" parentId="{05AE7ED0-2403-4C71-91F7-A5D92911D96D}">
    <text>But also prior approval https://www.nhsglos.nhs.uk/wp-content/uploads/2025/01/Removal-of-Benign-Skin-Lesions.pdf</text>
    <extLst>
      <x:ext xmlns:xltc2="http://schemas.microsoft.com/office/spreadsheetml/2020/threadedcomments2" uri="{F7C98A9C-CBB3-438F-8F68-D28B6AF4A901}">
        <xltc2:checksum>1176639040</xltc2:checksum>
        <xltc2:hyperlink startIndex="24" length="88" url="https://www.nhsglos.nhs.uk/wp-content/uploads/2025/01/Removal-of-Benign-Skin-Lesions.pdf"/>
      </x:ext>
    </extLst>
  </threadedComment>
  <threadedComment ref="X87" dT="2025-06-27T09:06:49.65" personId="{95736710-EFA0-493C-AAE5-6E4C07E0F9AD}" id="{700F0500-2C9D-4057-92B8-CE813B7BAD7D}">
    <text>?insulin pumps? Then tick - https://www.healthierlsc.co.uk/application/files/3216/7576/5525/LSCICB_Clin35_Policy_for_Provision_of_Insulin_Pumps_for_Patients_with_Diabetes_Mellitus__v1.1.pdf</text>
    <extLst>
      <x:ext xmlns:xltc2="http://schemas.microsoft.com/office/spreadsheetml/2020/threadedcomments2" uri="{F7C98A9C-CBB3-438F-8F68-D28B6AF4A901}">
        <xltc2:checksum>834195942</xltc2:checksum>
        <xltc2:hyperlink startIndex="28" length="161" url="https://www.healthierlsc.co.uk/application/files/3216/7576/5525/LSCICB_Clin35_Policy_for_Provision_of_Insulin_Pumps_for_Patients_with_Diabetes_Mellitus__v1.1.pdf"/>
      </x:ext>
    </extLst>
  </threadedComment>
  <threadedComment ref="AA87" dT="2025-06-27T10:31:46.19" personId="{95736710-EFA0-493C-AAE5-6E4C07E0F9AD}" id="{E88F27B8-A8F2-41E9-897B-0FD2AC5B1F99}">
    <text>Pump for diabetes? Tick if so https://www.midandsouthessex.ics.nhs.uk/publications/srp-066-insulin-pump-therapy-continuous-subcutaneous-insulin-infusion/</text>
    <extLst>
      <x:ext xmlns:xltc2="http://schemas.microsoft.com/office/spreadsheetml/2020/threadedcomments2" uri="{F7C98A9C-CBB3-438F-8F68-D28B6AF4A901}">
        <xltc2:checksum>2620564855</xltc2:checksum>
        <xltc2:hyperlink startIndex="30" length="123" url="https://www.midandsouthessex.ics.nhs.uk/publications/srp-066-insulin-pump-therapy-continuous-subcutaneous-insulin-infusion/"/>
      </x:ext>
    </extLst>
  </threadedComment>
  <threadedComment ref="H88" dT="2025-06-17T17:02:49.94" personId="{95736710-EFA0-493C-AAE5-6E4C07E0F9AD}" id="{7DE2E608-AF8A-411F-9928-182321C605DF}">
    <text>IFR https://www.bucksoxonberksw.icb.nhs.uk/media/4257/bobfpc76-arthroscopic-knee-surgery-for-meniscal-tears.pdf and https://www.bucksoxonberksw.icb.nhs.uk/media/4198/bobfpc6-arthroscopic-lavage-and-debridement.pdf</text>
    <extLst>
      <x:ext xmlns:xltc2="http://schemas.microsoft.com/office/spreadsheetml/2020/threadedcomments2" uri="{F7C98A9C-CBB3-438F-8F68-D28B6AF4A901}">
        <xltc2:checksum>2099673145</xltc2:checksum>
        <xltc2:hyperlink startIndex="4" length="107" url="https://www.bucksoxonberksw.icb.nhs.uk/media/4257/bobfpc76-arthroscopic-knee-surgery-for-meniscal-tears.pdf"/>
        <xltc2:hyperlink startIndex="116" length="97" url="https://www.bucksoxonberksw.icb.nhs.uk/media/4198/bobfpc6-arthroscopic-lavage-and-debridement.pdf"/>
      </x:ext>
    </extLst>
  </threadedComment>
  <threadedComment ref="E89" dT="2025-06-11T19:09:44.52" personId="{95736710-EFA0-493C-AAE5-6E4C07E0F9AD}" id="{321A8D45-0D58-4F18-B46B-C32027E78770}">
    <text>https://www.birminghamsolihull.icb.nhs.uk/application/files/8516/4872/3920/Knee_MRI_for_suspected_meniscal_tears_policy.pdf for meniscal tears, policy for OA for knees link not valid - https://www.birminghamsolihull.icb.nhs.uk/health-information-and-advice/policies/diagnostics-and-imaging</text>
    <extLst>
      <x:ext xmlns:xltc2="http://schemas.microsoft.com/office/spreadsheetml/2020/threadedcomments2" uri="{F7C98A9C-CBB3-438F-8F68-D28B6AF4A901}">
        <xltc2:checksum>2579630358</xltc2:checksum>
        <xltc2:hyperlink startIndex="0" length="123" url="https://www.birminghamsolihull.icb.nhs.uk/application/files/8516/4872/3920/Knee_MRI_for_suspected_meniscal_tears_policy.pdf"/>
        <xltc2:hyperlink startIndex="185" length="104" url="https://www.birminghamsolihull.icb.nhs.uk/health-information-and-advice/policies/diagnostics-and-imaging"/>
      </x:ext>
    </extLst>
  </threadedComment>
  <threadedComment ref="I89" dT="2025-06-17T21:42:57.82" personId="{95736710-EFA0-493C-AAE5-6E4C07E0F9AD}" id="{B1DC733A-1645-4EF4-8ED6-FD546B1097D0}">
    <text>Knee arthroscopy policy mentions mri ref for knee https://www.cpics.org.uk/clinical-policies/</text>
    <extLst>
      <x:ext xmlns:xltc2="http://schemas.microsoft.com/office/spreadsheetml/2020/threadedcomments2" uri="{F7C98A9C-CBB3-438F-8F68-D28B6AF4A901}">
        <xltc2:checksum>1524352227</xltc2:checksum>
        <xltc2:hyperlink startIndex="50" length="43" url="https://www.cpics.org.uk/clinical-policies/"/>
      </x:ext>
    </extLst>
  </threadedComment>
  <threadedComment ref="K89" dT="2025-06-18T11:10:05.47" personId="{95736710-EFA0-493C-AAE5-6E4C07E0F9AD}" id="{8F0B93CF-FDC2-4457-B685-83DB8763BDFC}">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L89" dT="2025-06-18T11:53:45.95" personId="{95736710-EFA0-493C-AAE5-6E4C07E0F9AD}" id="{C8B18497-DB56-454C-9FEB-2629C75249E5}">
    <text xml:space="preserve">Where symptoms have not settled after three months of non-operative treatment an MRI scan should be considered. https://www.happyhealthylives.uk/clientfiles/files/document_library/CWICB%20Policy%20for%20Arthroscopy%20of%20Knee%20Joint%20Policy%20FV.pdf ?tick </text>
    <extLst>
      <x:ext xmlns:xltc2="http://schemas.microsoft.com/office/spreadsheetml/2020/threadedcomments2" uri="{F7C98A9C-CBB3-438F-8F68-D28B6AF4A901}">
        <xltc2:checksum>1172638943</xltc2:checksum>
        <xltc2:hyperlink startIndex="112" length="140" url="https://www.happyhealthylives.uk/clientfiles/files/document_library/CWICB%20Policy%20for%20Arthroscopy%20of%20Knee%20Joint%20Policy%20FV.pdf"/>
      </x:ext>
    </extLst>
  </threadedComment>
  <threadedComment ref="T89" dT="2025-06-22T18:11:39.97" personId="{95736710-EFA0-493C-AAE5-6E4C07E0F9AD}" id="{176855E0-0BE2-478C-AA6F-4D4EAF6A4281}">
    <text>TICK “MRI is rarely indicated for the degenerative knee. A degenerative knee is poorly associated with symptoms and should be considered a feature indicative of early stage knee osteoarthritis and the patient treated accordingly. ii. Knee radiography should be used as a first line imaging tool to support a diagnosis of osteoarthritis or to detect certain rarer pathologies of the knee. Therefore, anteroposterior weight-bearing, lateral radiography is required. Skyline patella x-ray may be undertaken if there is suspicion of patellofemoral osteoarthritis. iii. Knee MRI may be indicated in selected patients with refractory symptoms or in the presence of ‘warning flags’ or localised symptoms indicating a rarer disease that needs to be rule ” https://www.hwics.org.uk/application/files/2117/0904/4510/ICB_MSK_Surgery_and_Therapy_V1.5_Final_6.pdf</text>
    <extLst>
      <x:ext xmlns:xltc2="http://schemas.microsoft.com/office/spreadsheetml/2020/threadedcomments2" uri="{F7C98A9C-CBB3-438F-8F68-D28B6AF4A901}">
        <xltc2:checksum>3452856337</xltc2:checksum>
        <xltc2:hyperlink startIndex="748" length="102" url="https://www.hwics.org.uk/application/files/2117/0904/4510/ICB_MSK_Surgery_and_Therapy_V1.5_Final_6.pdf"/>
      </x:ext>
    </extLst>
  </threadedComment>
  <threadedComment ref="U89" dT="2025-06-22T20:14:30.85" personId="{95736710-EFA0-493C-AAE5-6E4C07E0F9AD}" id="{216CA5D5-7840-4F0E-80F8-500E39D9D316}">
    <text xml:space="preserve">https://www.hweclinicalguidance.nhs.uk/all-clinical-areas-documents/search-results/knee-pain/ tick </text>
    <extLst>
      <x:ext xmlns:xltc2="http://schemas.microsoft.com/office/spreadsheetml/2020/threadedcomments2" uri="{F7C98A9C-CBB3-438F-8F68-D28B6AF4A901}">
        <xltc2:checksum>4151836328</xltc2:checksum>
        <xltc2:hyperlink startIndex="0" length="93" url="https://www.hweclinicalguidance.nhs.uk/all-clinical-areas-documents/search-results/knee-pain/"/>
      </x:ext>
    </extLst>
  </threadedComment>
  <threadedComment ref="K90" dT="2025-06-18T11:10:05.47" personId="{95736710-EFA0-493C-AAE5-6E4C07E0F9AD}" id="{8765005F-AF75-4CF7-A337-981D3FA94DB7}">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V90" dT="2025-06-22T21:31:39.55" personId="{95736710-EFA0-493C-AAE5-6E4C07E0F9AD}" id="{7E46D909-671B-4DCA-BCB6-6611EDC867DA}">
    <text>Tick https://humberandnorthyorkshire.icb.nhs.uk/wp-content/uploads/2025/04/124-Hip-and-Knee-Replacement-Surgery.docx</text>
    <extLst>
      <x:ext xmlns:xltc2="http://schemas.microsoft.com/office/spreadsheetml/2020/threadedcomments2" uri="{F7C98A9C-CBB3-438F-8F68-D28B6AF4A901}">
        <xltc2:checksum>3192457654</xltc2:checksum>
        <xltc2:hyperlink startIndex="5" length="111" url="https://humberandnorthyorkshire.icb.nhs.uk/wp-content/uploads/2025/04/124-Hip-and-Knee-Replacement-Surgery.docx"/>
      </x:ext>
    </extLst>
  </threadedComment>
  <threadedComment ref="AG92" dT="2025-06-27T22:13:40.90" personId="{95736710-EFA0-493C-AAE5-6E4C07E0F9AD}" id="{1152F8D2-5DB1-437D-BC3E-27E1A8F04713}">
    <text>IFR https://www.icnorthamptonshire.org.uk/download.cfm?doc=docm93jijm4n19772&amp;ver=65843</text>
    <extLst>
      <x:ext xmlns:xltc2="http://schemas.microsoft.com/office/spreadsheetml/2020/threadedcomments2" uri="{F7C98A9C-CBB3-438F-8F68-D28B6AF4A901}">
        <xltc2:checksum>3494980102</xltc2:checksum>
        <xltc2:hyperlink startIndex="4" length="82" url="https://www.icnorthamptonshire.org.uk/download.cfm?doc=docm93jijm4n19772&amp;ver=65843"/>
      </x:ext>
    </extLst>
  </threadedComment>
  <threadedComment ref="I96" dT="2025-06-17T21:59:33.72" personId="{95736710-EFA0-493C-AAE5-6E4C07E0F9AD}" id="{FC003B2A-8888-4945-8443-52D9721FCBB5}">
    <text>Prior approval, and if not meet criteria then IFR https://www.cpics.org.uk/download.cfm?doc=docm93jijm4n1144.pdf&amp;ver=2072</text>
    <extLst>
      <x:ext xmlns:xltc2="http://schemas.microsoft.com/office/spreadsheetml/2020/threadedcomments2" uri="{F7C98A9C-CBB3-438F-8F68-D28B6AF4A901}">
        <xltc2:checksum>1910272140</xltc2:checksum>
        <xltc2:hyperlink startIndex="50" length="71" url="https://www.cpics.org.uk/download.cfm?doc=docm93jijm4n1144.pdf&amp;ver=2072"/>
      </x:ext>
    </extLst>
  </threadedComment>
  <threadedComment ref="I97" dT="2025-06-17T22:22:40.51" personId="{95736710-EFA0-493C-AAE5-6E4C07E0F9AD}" id="{041D5036-B727-4259-BE6B-D9E1E7B23151}">
    <text>https://www.cpics.org.uk/download.cfm?doc=docm93jijm4n1150.pdf&amp;ver=2090 - can be part of patients usual mx</text>
    <extLst>
      <x:ext xmlns:xltc2="http://schemas.microsoft.com/office/spreadsheetml/2020/threadedcomments2" uri="{F7C98A9C-CBB3-438F-8F68-D28B6AF4A901}">
        <xltc2:checksum>3561960070</xltc2:checksum>
        <xltc2:hyperlink startIndex="0" length="71" url="https://www.cpics.org.uk/download.cfm?doc=docm93jijm4n1150.pdf&amp;ver=2090"/>
      </x:ext>
    </extLst>
  </threadedComment>
  <threadedComment ref="T97" dT="2025-06-22T18:44:41.41" personId="{95736710-EFA0-493C-AAE5-6E4C07E0F9AD}" id="{78163C43-04D9-422B-8CC4-9122D45DBD33}">
    <text xml:space="preserve">IFR https://www.hwics.org.uk/application/files/3017/4947/6443/ICB_Policy_-_Surgery_for_Chronic_Lymphoedema_V1.0.pdf </text>
    <extLst>
      <x:ext xmlns:xltc2="http://schemas.microsoft.com/office/spreadsheetml/2020/threadedcomments2" uri="{F7C98A9C-CBB3-438F-8F68-D28B6AF4A901}">
        <xltc2:checksum>3178654151</xltc2:checksum>
        <xltc2:hyperlink startIndex="4" length="111" url="https://www.hwics.org.uk/application/files/3017/4947/6443/ICB_Policy_-_Surgery_for_Chronic_Lymphoedema_V1.0.pdf"/>
      </x:ext>
    </extLst>
  </threadedComment>
  <threadedComment ref="AA97" dT="2025-06-27T10:33:36.28" personId="{95736710-EFA0-493C-AAE5-6E4C07E0F9AD}" id="{10F23D5D-08DA-414A-9500-0F6149B5CA41}">
    <text>Doesn’t mention manual drain https://www.midandsouthessex.ics.nhs.uk/publications/srp-070-lymphoedema-services/ so NA, but just checking</text>
    <extLst>
      <x:ext xmlns:xltc2="http://schemas.microsoft.com/office/spreadsheetml/2020/threadedcomments2" uri="{F7C98A9C-CBB3-438F-8F68-D28B6AF4A901}">
        <xltc2:checksum>496965743</xltc2:checksum>
        <xltc2:hyperlink startIndex="29" length="82" url="https://www.midandsouthessex.ics.nhs.uk/publications/srp-070-lymphoedema-services/"/>
      </x:ext>
    </extLst>
  </threadedComment>
  <threadedComment ref="AP97" dT="2025-06-26T23:46:12.16" personId="{95736710-EFA0-493C-AAE5-6E4C07E0F9AD}" id="{2E9CA047-5F88-43DB-8CD1-F6F7D28314BE}">
    <text>IFR - “Manual lymphatic drainage unless part of an established care package ” https://int.sussex.ics.nhs.uk/clinical_documents/sussex-cec-clinical-policy/</text>
    <extLst>
      <x:ext xmlns:xltc2="http://schemas.microsoft.com/office/spreadsheetml/2020/threadedcomments2" uri="{F7C98A9C-CBB3-438F-8F68-D28B6AF4A901}">
        <xltc2:checksum>1819724875</xltc2:checksum>
        <xltc2:hyperlink startIndex="78" length="76" url="https://int.sussex.ics.nhs.uk/clinical_documents/sussex-cec-clinical-policy/"/>
      </x:ext>
    </extLst>
  </threadedComment>
  <threadedComment ref="D98" dT="2025-06-11T14:50:07.44" personId="{95736710-EFA0-493C-AAE5-6E4C07E0F9AD}" id="{6D9DC10C-EA36-434E-BEB9-4B956AF714C5}">
    <text>Mentioned but normally funded “Intraocular lenses for cataract surgery (IOL) Monofocal IOLs are the current standard IOL design used for cataract surgery in the NHS. Toric Intraocular Lenses for astigmatism correction in patients undergoing cataract surgery is not normally funded by ICBs. This is due to a lack of quality evidence regarding the long term clinical effectiveness of this procedure. NHSE commissions other services for astigmatism and refractive errors that are effective, safe and costeffective, such as wearing glasses or contact lenses.  ”https://bedfordshirelutonandmiltonkeynes.icb.nhs.uk/~documents/policies/evidence-based-clinical-policies/cataract-surgery</text>
    <extLst>
      <x:ext xmlns:xltc2="http://schemas.microsoft.com/office/spreadsheetml/2020/threadedcomments2" uri="{F7C98A9C-CBB3-438F-8F68-D28B6AF4A901}">
        <xltc2:checksum>2940707684</xltc2:checksum>
        <xltc2:hyperlink startIndex="557" length="121" url="https://bedfordshirelutonandmiltonkeynes.icb.nhs.uk/~documents/policies/evidence-based-clinical-policies/cataract-surgery"/>
      </x:ext>
    </extLst>
  </threadedComment>
  <threadedComment ref="J98" dT="2025-06-18T09:35:48.22" personId="{95736710-EFA0-493C-AAE5-6E4C07E0F9AD}" id="{CB0968B6-4955-4577-B420-7B70C678270E}">
    <text>IFR https://www.cheshireandmerseyside.nhs.uk/media/lhapbd4h/pol-clin097-cataracts-v1-final.pdf</text>
    <extLst>
      <x:ext xmlns:xltc2="http://schemas.microsoft.com/office/spreadsheetml/2020/threadedcomments2" uri="{F7C98A9C-CBB3-438F-8F68-D28B6AF4A901}">
        <xltc2:checksum>2490359564</xltc2:checksum>
        <xltc2:hyperlink startIndex="4" length="90" url="https://www.cheshireandmerseyside.nhs.uk/media/lhapbd4h/pol-clin097-cataracts-v1-final.pdf"/>
      </x:ext>
    </extLst>
  </threadedComment>
  <threadedComment ref="O98" dT="2025-06-18T14:53:05.19" personId="{95736710-EFA0-493C-AAE5-6E4C07E0F9AD}" id="{3EE7E96E-97EA-42EA-AB66-7A5D1729B978}">
    <text>IFR https://nhsdorset.nhs.uk/wp-content/uploads/2024/11/Cataract-EBI-May-2024.pdf</text>
    <extLst>
      <x:ext xmlns:xltc2="http://schemas.microsoft.com/office/spreadsheetml/2020/threadedcomments2" uri="{F7C98A9C-CBB3-438F-8F68-D28B6AF4A901}">
        <xltc2:checksum>3843811953</xltc2:checksum>
        <xltc2:hyperlink startIndex="4" length="77" url="https://nhsdorset.nhs.uk/wp-content/uploads/2024/11/Cataract-EBI-May-2024.pdf"/>
      </x:ext>
    </extLst>
  </threadedComment>
  <threadedComment ref="Q98" dT="2025-06-18T17:01:17.79" personId="{95736710-EFA0-493C-AAE5-6E4C07E0F9AD}" id="{F80DC6BD-8F3C-4132-907C-C1A76D462D63}">
    <text>multi-focal lenses are not funded https://www.nhsglos.nhs.uk/wp-content/uploads/2023/07/Cataract.pdf IFR</text>
    <extLst>
      <x:ext xmlns:xltc2="http://schemas.microsoft.com/office/spreadsheetml/2020/threadedcomments2" uri="{F7C98A9C-CBB3-438F-8F68-D28B6AF4A901}">
        <xltc2:checksum>3402366132</xltc2:checksum>
        <xltc2:hyperlink startIndex="34" length="66" url="https://www.nhsglos.nhs.uk/wp-content/uploads/2023/07/Cataract.pdf"/>
      </x:ext>
    </extLst>
  </threadedComment>
  <threadedComment ref="U98" dT="2025-06-22T20:18:39.17" personId="{95736710-EFA0-493C-AAE5-6E4C07E0F9AD}" id="{DD309C21-FF04-4E69-960E-3B14ADF78AB1}">
    <text xml:space="preserve">https://www.hweclinicalguidance.nhs.uk/all-clinical-areas-documents/search-results/cataract-surgery/ IFR Multifocal intraocular lenses for people having cataract surgery will not be routinely funded.
Toric intraocular lenses for astigmatism correction in patients undergoing cataract surgery will not be routinely funded. 
Other effective, safe, and cost-effective interventions are available for astigmatism and refractive errors, such as spectacle correction and contact lenses.
</text>
    <extLst>
      <x:ext xmlns:xltc2="http://schemas.microsoft.com/office/spreadsheetml/2020/threadedcomments2" uri="{F7C98A9C-CBB3-438F-8F68-D28B6AF4A901}">
        <xltc2:checksum>2479231309</xltc2:checksum>
        <xltc2:hyperlink startIndex="0" length="100" url="https://www.hweclinicalguidance.nhs.uk/all-clinical-areas-documents/search-results/cataract-surgery/"/>
      </x:ext>
    </extLst>
  </threadedComment>
  <threadedComment ref="Y98" dT="2025-06-27T09:36:43.23" personId="{95736710-EFA0-493C-AAE5-6E4C07E0F9AD}" id="{ADAE003A-3F96-45C4-8B8F-4E343A318968}">
    <text>Tick criteria based “
Intraocular Lens Implant ” https://leicesterleicestershireandrutland.icb.nhs.uk/policy-for-leicester-leicestershire-and-rutland-approved-referral-pathways/</text>
    <extLst>
      <x:ext xmlns:xltc2="http://schemas.microsoft.com/office/spreadsheetml/2020/threadedcomments2" uri="{F7C98A9C-CBB3-438F-8F68-D28B6AF4A901}">
        <xltc2:checksum>2168499919</xltc2:checksum>
        <xltc2:hyperlink startIndex="49" length="128" url="https://leicesterleicestershireandrutland.icb.nhs.uk/policy-for-leicester-leicestershire-and-rutland-approved-referral-pathways/"/>
      </x:ext>
    </extLst>
  </threadedComment>
  <threadedComment ref="AQ98" dT="2025-06-28T11:48:14.83" personId="{95736710-EFA0-493C-AAE5-6E4C07E0F9AD}" id="{C33D64D4-9BF8-4B7A-9054-AEBDD5A6476B}">
    <text>IFR https://www.wypartnership.co.uk/application/files/2615/8106/5842/WYH_cataracts_policy_V1_01.20.pdf “Multifocal intraocular lens Multifocal intraocular lenses are designed to provide good near and distance vision and to minimise the need for reading glasses. They can be associated with adverse symptoms, have a significant cost premium and are not recommended by NICE. The West Yorkshire and Harrogate ICS does NOT routinely commission the insertion of multifocal intraocular lenses ”</text>
    <extLst>
      <x:ext xmlns:xltc2="http://schemas.microsoft.com/office/spreadsheetml/2020/threadedcomments2" uri="{F7C98A9C-CBB3-438F-8F68-D28B6AF4A901}">
        <xltc2:checksum>1041854094</xltc2:checksum>
        <xltc2:hyperlink startIndex="4" length="98" url="https://www.wypartnership.co.uk/application/files/2615/8106/5842/WYH_cataracts_policy_V1_01.20.pdf"/>
      </x:ext>
    </extLst>
  </threadedComment>
  <threadedComment ref="C99" dT="2025-06-03T10:45:32.51" personId="{95736710-EFA0-493C-AAE5-6E4C07E0F9AD}" id="{D5DF8668-1DDA-44B7-8D15-1D48D835B905}">
    <text xml:space="preserve">Nasal surgery (rhinoplasty, septorhinoplasty) solely to correct deformity and the cosmetic appearance of the nose are not normally funded. In the following cases Exceptional Funding Request approval must be applied for before surger </text>
  </threadedComment>
  <threadedComment ref="C99" dT="2025-06-03T10:46:20.55" personId="{95736710-EFA0-493C-AAE5-6E4C07E0F9AD}" id="{4CCD8E0B-CCB8-41F3-88DC-BF91F1112D74}" parentId="{D5DF8668-1DDA-44B7-8D15-1D48D835B905}">
    <text>https://bsw.icb.nhs.uk/wp-content/uploads/sites/6/2022/09/BSW-ICB-CP033-Nasal-Surgery-Septoplasty-Septorhinoplasty-Rhinoplasty.pdf</text>
    <extLst>
      <x:ext xmlns:xltc2="http://schemas.microsoft.com/office/spreadsheetml/2020/threadedcomments2" uri="{F7C98A9C-CBB3-438F-8F68-D28B6AF4A901}">
        <xltc2:checksum>25706226</xltc2:checksum>
        <xltc2:hyperlink startIndex="0" length="130" url="https://bsw.icb.nhs.uk/wp-content/uploads/sites/6/2022/09/BSW-ICB-CP033-Nasal-Surgery-Septoplasty-Septorhinoplasty-Rhinoplasty.pdf"/>
      </x:ext>
    </extLst>
  </threadedComment>
  <threadedComment ref="G99" dT="2025-06-13T14:24:28.54" personId="{95736710-EFA0-493C-AAE5-6E4C07E0F9AD}" id="{3D777574-6DD4-4F54-9066-7E29C5B633C0}">
    <text>Unable to find https://bnssghealthiertogether.org.uk/library</text>
    <extLst>
      <x:ext xmlns:xltc2="http://schemas.microsoft.com/office/spreadsheetml/2020/threadedcomments2" uri="{F7C98A9C-CBB3-438F-8F68-D28B6AF4A901}">
        <xltc2:checksum>504927835</xltc2:checksum>
        <xltc2:hyperlink startIndex="15" length="45" url="https://bnssghealthiertogether.org.uk/library"/>
      </x:ext>
    </extLst>
  </threadedComment>
  <threadedComment ref="H99" dT="2025-06-17T17:52:26.95" personId="{95736710-EFA0-493C-AAE5-6E4C07E0F9AD}" id="{FE464721-8AAF-406B-9E1E-888937CABEB2}">
    <text>Should be IFR https://www.bucksoxonberksw.icb.nhs.uk/media/4374/bobfpc16-aesthetic-treatments-for-adults-and-children.pdf</text>
    <extLst>
      <x:ext xmlns:xltc2="http://schemas.microsoft.com/office/spreadsheetml/2020/threadedcomments2" uri="{F7C98A9C-CBB3-438F-8F68-D28B6AF4A901}">
        <xltc2:checksum>2635977091</xltc2:checksum>
        <xltc2:hyperlink startIndex="14" length="107" url="https://www.bucksoxonberksw.icb.nhs.uk/media/4374/bobfpc16-aesthetic-treatments-for-adults-and-children.pdf"/>
      </x:ext>
    </extLst>
  </threadedComment>
  <threadedComment ref="J99" dT="2025-06-18T09:42:13.66" personId="{95736710-EFA0-493C-AAE5-6E4C07E0F9AD}" id="{66FC30CF-9481-4AAE-94B4-DF9626E83FD8}">
    <text>Should be a tick https://www.cheshireandmerseyside.nhs.uk/media/tg1czjqx/pol-clin102-reshaping-the-nose-rhinoplasty-septoplasty-final-v04.pdf</text>
    <extLst>
      <x:ext xmlns:xltc2="http://schemas.microsoft.com/office/spreadsheetml/2020/threadedcomments2" uri="{F7C98A9C-CBB3-438F-8F68-D28B6AF4A901}">
        <xltc2:checksum>2739314882</xltc2:checksum>
        <xltc2:hyperlink startIndex="17" length="124" url="https://www.cheshireandmerseyside.nhs.uk/media/tg1czjqx/pol-clin102-reshaping-the-nose-rhinoplasty-septoplasty-final-v04.pdf"/>
      </x:ext>
    </extLst>
  </threadedComment>
  <threadedComment ref="Q99" dT="2025-06-18T16:53:43.64" personId="{95736710-EFA0-493C-AAE5-6E4C07E0F9AD}" id="{077857B3-FC24-4D2D-BB8F-FEFB81919984}">
    <text>IFR https://www.nhsglos.nhs.uk/wp-content/uploads/2023/07/Facial-Procedures.pdf</text>
    <extLst>
      <x:ext xmlns:xltc2="http://schemas.microsoft.com/office/spreadsheetml/2020/threadedcomments2" uri="{F7C98A9C-CBB3-438F-8F68-D28B6AF4A901}">
        <xltc2:checksum>2466487764</xltc2:checksum>
        <xltc2:hyperlink startIndex="4" length="75" url="https://www.nhsglos.nhs.uk/wp-content/uploads/2023/07/Facial-Procedures.pdf"/>
      </x:ext>
    </extLst>
  </threadedComment>
  <threadedComment ref="AH99" dT="2025-06-26T19:35:31.71" personId="{95736710-EFA0-493C-AAE5-6E4C07E0F9AD}" id="{8F21D9D3-C84B-4E59-934F-9A67628BA51A}">
    <text>Rhinoplasty is IFR however, septorhino is tick</text>
  </threadedComment>
  <threadedComment ref="AL99" dT="2025-06-26T21:35:32.16" personId="{95736710-EFA0-493C-AAE5-6E4C07E0F9AD}" id="{03BC85B2-7D59-4393-AE3C-1B114154A168}">
    <text>IFR - Rhinoplasty will not be routinely commissioned by the NHS for cosmetic reasons. Cases may be considered on an exceptional basis, for example in the presence of severe functional problems. Post traumatic airway obstruction or septal deviation does not need funding approval. https://syics.co.uk/application/files/5916/8017/2095/FINAL_EBI_CFO_v.24_Final_27_March_2023.pdf</text>
    <extLst>
      <x:ext xmlns:xltc2="http://schemas.microsoft.com/office/spreadsheetml/2020/threadedcomments2" uri="{F7C98A9C-CBB3-438F-8F68-D28B6AF4A901}">
        <xltc2:checksum>3726806300</xltc2:checksum>
        <xltc2:hyperlink startIndex="280" length="95" url="https://syics.co.uk/application/files/5916/8017/2095/FINAL_EBI_CFO_v.24_Final_27_March_2023.pdf"/>
      </x:ext>
    </extLst>
  </threadedComment>
  <threadedComment ref="AQ99" dT="2025-06-28T12:15:55.01" personId="{95736710-EFA0-493C-AAE5-6E4C07E0F9AD}" id="{22D88134-4B94-434D-B31F-6B45AA67E5DE}">
    <text>Reads as IFR? https://www.wypartnership.co.uk/application/files/4116/8907/1292/Nose_surgery_05.2022.pdf criteria is only for IFR</text>
    <extLst>
      <x:ext xmlns:xltc2="http://schemas.microsoft.com/office/spreadsheetml/2020/threadedcomments2" uri="{F7C98A9C-CBB3-438F-8F68-D28B6AF4A901}">
        <xltc2:checksum>1337144442</xltc2:checksum>
        <xltc2:hyperlink startIndex="14" length="89" url="https://www.wypartnership.co.uk/application/files/4116/8907/1292/Nose_surgery_05.2022.pdf"/>
      </x:ext>
    </extLst>
  </threadedComment>
  <threadedComment ref="AQ101" dT="2025-06-28T12:23:40.20" personId="{95736710-EFA0-493C-AAE5-6E4C07E0F9AD}" id="{EFBD647E-B4C5-4E06-9D02-B03654B9398E}">
    <text>Tick https://www.wypartnership.co.uk/application/files/5817/3140/3569/Spinal_Pain_Policy_112024.pdf “Non-rigid stabilisation techniques for the treatment of low back pain (IPG366) ”</text>
    <extLst>
      <x:ext xmlns:xltc2="http://schemas.microsoft.com/office/spreadsheetml/2020/threadedcomments2" uri="{F7C98A9C-CBB3-438F-8F68-D28B6AF4A901}">
        <xltc2:checksum>121696792</xltc2:checksum>
        <xltc2:hyperlink startIndex="5" length="94" url="https://www.wypartnership.co.uk/application/files/5817/3140/3569/Spinal_Pain_Policy_112024.pdf"/>
      </x:ext>
    </extLst>
  </threadedComment>
  <threadedComment ref="C102" dT="2025-06-03T11:05:00.50" personId="{95736710-EFA0-493C-AAE5-6E4C07E0F9AD}" id="{FEA74F1C-14DB-4C17-9B42-2F917EE68A36}">
    <text>Unable to find on website</text>
  </threadedComment>
  <threadedComment ref="Q102" dT="2025-06-18T19:03:16.62" personId="{95736710-EFA0-493C-AAE5-6E4C07E0F9AD}" id="{E6189C1F-0A68-4531-8F21-605730AE4352}">
    <text>Unable to find</text>
  </threadedComment>
  <threadedComment ref="U102" dT="2025-06-22T20:20:54.80" personId="{95736710-EFA0-493C-AAE5-6E4C07E0F9AD}" id="{82CF2152-B091-46AC-B474-C8BB2BAA5A09}">
    <text>EBI https://www.hweclinicalguidance.nhs.uk/all-clinical-areas-documents/search-results/bariatric-surgery/</text>
    <extLst>
      <x:ext xmlns:xltc2="http://schemas.microsoft.com/office/spreadsheetml/2020/threadedcomments2" uri="{F7C98A9C-CBB3-438F-8F68-D28B6AF4A901}">
        <xltc2:checksum>416573456</xltc2:checksum>
        <xltc2:hyperlink startIndex="4" length="101" url="https://www.hweclinicalguidance.nhs.uk/all-clinical-areas-documents/search-results/bariatric-surgery/"/>
      </x:ext>
    </extLst>
  </threadedComment>
  <threadedComment ref="AC102" dT="2025-06-24T21:32:27.77" personId="{95736710-EFA0-493C-AAE5-6E4C07E0F9AD}" id="{3984B084-16C9-437E-99E3-E7C7F38ECBE5}">
    <text>Unable to find ref https://nclhealthandcare.org.uk/wp-content/uploads/2024/02/NCL-EBICS-Policy-v9.2-2.pdf</text>
    <extLst>
      <x:ext xmlns:xltc2="http://schemas.microsoft.com/office/spreadsheetml/2020/threadedcomments2" uri="{F7C98A9C-CBB3-438F-8F68-D28B6AF4A901}">
        <xltc2:checksum>754246687</xltc2:checksum>
        <xltc2:hyperlink startIndex="19" length="86" url="https://nclhealthandcare.org.uk/wp-content/uploads/2024/02/NCL-EBICS-Policy-v9.2-2.pdf"/>
      </x:ext>
    </extLst>
  </threadedComment>
  <threadedComment ref="AK102" dT="2025-06-26T20:56:33.22" personId="{95736710-EFA0-493C-AAE5-6E4C07E0F9AD}" id="{BD36CA3E-5A64-45B2-98BF-0D023F4B8497}">
    <text>IFR - Bariatric “If a particular procedure/approach is not listed within local policies then it is not commissioned and not available. ” - policy document changes https://www.selondonics.org/wp-content/uploads/dlm_uploads/SEL-Treatment-Access-Policy-July-2024-v1.pdf</text>
    <extLst>
      <x:ext xmlns:xltc2="http://schemas.microsoft.com/office/spreadsheetml/2020/threadedcomments2" uri="{F7C98A9C-CBB3-438F-8F68-D28B6AF4A901}">
        <xltc2:checksum>1807989526</xltc2:checksum>
        <xltc2:hyperlink startIndex="163" length="103" url="https://www.selondonics.org/wp-content/uploads/dlm_uploads/SEL-Treatment-Access-Policy-July-2024-v1.pdf"/>
      </x:ext>
    </extLst>
  </threadedComment>
  <threadedComment ref="I103" dT="2025-06-17T22:27:02.26" personId="{95736710-EFA0-493C-AAE5-6E4C07E0F9AD}" id="{D99759F1-AF45-439D-833C-28AF3290EE4A}">
    <text>IFR https://www.cpics.org.uk/download.cfm?doc=docm93jijm4n1176.pdf&amp;ver=2159</text>
    <extLst>
      <x:ext xmlns:xltc2="http://schemas.microsoft.com/office/spreadsheetml/2020/threadedcomments2" uri="{F7C98A9C-CBB3-438F-8F68-D28B6AF4A901}">
        <xltc2:checksum>95270110</xltc2:checksum>
        <xltc2:hyperlink startIndex="4" length="71" url="https://www.cpics.org.uk/download.cfm?doc=docm93jijm4n1176.pdf&amp;ver=2159"/>
      </x:ext>
    </extLst>
  </threadedComment>
  <threadedComment ref="T103" dT="2025-06-22T17:53:32.42" personId="{95736710-EFA0-493C-AAE5-6E4C07E0F9AD}" id="{0D758A2C-9D45-43EC-A74C-9AE9CEF49C4F}">
    <text>https://www.hwics.org.uk/download_file/4074/554 tick</text>
    <extLst>
      <x:ext xmlns:xltc2="http://schemas.microsoft.com/office/spreadsheetml/2020/threadedcomments2" uri="{F7C98A9C-CBB3-438F-8F68-D28B6AF4A901}">
        <xltc2:checksum>2993136799</xltc2:checksum>
        <xltc2:hyperlink startIndex="0" length="47" url="https://www.hwics.org.uk/download_file/4074/554"/>
      </x:ext>
    </extLst>
  </threadedComment>
  <threadedComment ref="U104" dT="2025-06-22T20:21:49.17" personId="{95736710-EFA0-493C-AAE5-6E4C07E0F9AD}" id="{5177931A-D634-4E50-86DF-A71AF6B53203}">
    <text>Tick mentioned a lot in this policy as therapy option https://www.hweclinicalguidance.nhs.uk/all-clinical-areas-documents/search-results/functional-electrical-stimulation/</text>
    <extLst>
      <x:ext xmlns:xltc2="http://schemas.microsoft.com/office/spreadsheetml/2020/threadedcomments2" uri="{F7C98A9C-CBB3-438F-8F68-D28B6AF4A901}">
        <xltc2:checksum>3445739178</xltc2:checksum>
        <xltc2:hyperlink startIndex="54" length="117" url="https://www.hweclinicalguidance.nhs.uk/all-clinical-areas-documents/search-results/functional-electrical-stimulation/"/>
      </x:ext>
    </extLst>
  </threadedComment>
  <threadedComment ref="U106" dT="2025-06-22T20:22:34.34" personId="{95736710-EFA0-493C-AAE5-6E4C07E0F9AD}" id="{0141B8B8-F85B-4235-B1B0-06A1FFFD7C20}">
    <text xml:space="preserve">? Tick https://www.hweclinicalguidance.nhs.uk/all-clinical-areas-documents/search-results/tadalafil-pr/ </text>
    <extLst>
      <x:ext xmlns:xltc2="http://schemas.microsoft.com/office/spreadsheetml/2020/threadedcomments2" uri="{F7C98A9C-CBB3-438F-8F68-D28B6AF4A901}">
        <xltc2:checksum>2886036402</xltc2:checksum>
        <xltc2:hyperlink startIndex="7" length="96" url="https://www.hweclinicalguidance.nhs.uk/all-clinical-areas-documents/search-results/tadalafil-pr/"/>
      </x:ext>
    </extLst>
  </threadedComment>
  <threadedComment ref="AC106" dT="2025-06-24T21:34:41.28" personId="{95736710-EFA0-493C-AAE5-6E4C07E0F9AD}" id="{5014994E-EE20-4C3F-AFFE-66A69F498C84}">
    <text>Unable to find ref</text>
  </threadedComment>
  <threadedComment ref="W108" dT="2025-06-24T09:50:33.43" personId="{95736710-EFA0-493C-AAE5-6E4C07E0F9AD}" id="{FFDF69CF-0620-41B5-A7B6-BBB9EC2D1121}">
    <text>https://www.kentandmedway.icb.nhs.uk/application/files/9817/1292/6708/KM_RaTC_April_2024.pdf Verteporfin with photodynamic therapy (PDT) for the treatment of central serous chorioretinopathy (CSCR)  - tick</text>
    <extLst>
      <x:ext xmlns:xltc2="http://schemas.microsoft.com/office/spreadsheetml/2020/threadedcomments2" uri="{F7C98A9C-CBB3-438F-8F68-D28B6AF4A901}">
        <xltc2:checksum>2723067857</xltc2:checksum>
        <xltc2:hyperlink startIndex="0" length="92" url="https://www.kentandmedway.icb.nhs.uk/application/files/9817/1292/6708/KM_RaTC_April_2024.pdf"/>
      </x:ext>
    </extLst>
  </threadedComment>
  <threadedComment ref="Q109" dT="2025-06-18T19:03:48.26" personId="{95736710-EFA0-493C-AAE5-6E4C07E0F9AD}" id="{D5D744AA-149A-4FC6-A276-89D408F520AD}">
    <text>Unable to find</text>
  </threadedComment>
  <threadedComment ref="G110" dT="2025-06-13T14:55:24.41" personId="{95736710-EFA0-493C-AAE5-6E4C07E0F9AD}" id="{073870A9-870A-461A-AEB0-7AD59EC069A7}">
    <text>https://bnssghealthiertogether.org.uk/wp-content/uploads/2021/10/Percutaneous-Tibial-Nerve-Stimulation-Treatment-Policy-EFR-BNSSG-3-24-25-1.pdf IFR</text>
    <extLst>
      <x:ext xmlns:xltc2="http://schemas.microsoft.com/office/spreadsheetml/2020/threadedcomments2" uri="{F7C98A9C-CBB3-438F-8F68-D28B6AF4A901}">
        <xltc2:checksum>4178389762</xltc2:checksum>
        <xltc2:hyperlink startIndex="0" length="143" url="https://bnssghealthiertogether.org.uk/wp-content/uploads/2021/10/Percutaneous-Tibial-Nerve-Stimulation-Treatment-Policy-EFR-BNSSG-3-24-25-1.pdf"/>
      </x:ext>
    </extLst>
  </threadedComment>
  <threadedComment ref="I110" dT="2025-06-17T22:24:42.55" personId="{95736710-EFA0-493C-AAE5-6E4C07E0F9AD}" id="{5A7153F8-D77F-415D-A53D-7540A7EA916A}">
    <text>https://www.cpics.org.uk/download.cfm?doc=docm93jijm4n1174.pdf&amp;ver=2155 tibial nerve but percutaneous</text>
    <extLst>
      <x:ext xmlns:xltc2="http://schemas.microsoft.com/office/spreadsheetml/2020/threadedcomments2" uri="{F7C98A9C-CBB3-438F-8F68-D28B6AF4A901}">
        <xltc2:checksum>2548764608</xltc2:checksum>
        <xltc2:hyperlink startIndex="0" length="71" url="https://www.cpics.org.uk/download.cfm?doc=docm93jijm4n1174.pdf&amp;ver=2155"/>
      </x:ext>
    </extLst>
  </threadedComment>
  <threadedComment ref="V110" dT="2025-06-22T21:38:02.33" personId="{95736710-EFA0-493C-AAE5-6E4C07E0F9AD}" id="{9C337C21-DCEF-475D-A146-440417555938}">
    <text>?tick https://humberandnorthyorkshire.icb.nhs.uk/wp-content/uploads/2025/04/112-Percutaneous-Tibial-Nerve-Stimulation-PTNS-for-Urinary-Incontinence.docx</text>
    <extLst>
      <x:ext xmlns:xltc2="http://schemas.microsoft.com/office/spreadsheetml/2020/threadedcomments2" uri="{F7C98A9C-CBB3-438F-8F68-D28B6AF4A901}">
        <xltc2:checksum>2885845997</xltc2:checksum>
        <xltc2:hyperlink startIndex="6" length="146" url="https://humberandnorthyorkshire.icb.nhs.uk/wp-content/uploads/2025/04/112-Percutaneous-Tibial-Nerve-Stimulation-PTNS-for-Urinary-Incontinence.docx"/>
      </x:ext>
    </extLst>
  </threadedComment>
  <threadedComment ref="V110" dT="2025-06-22T21:39:14.57" personId="{95736710-EFA0-493C-AAE5-6E4C07E0F9AD}" id="{D77EF21A-27B6-4654-BF8E-12F6A4719D42}" parentId="{9C337C21-DCEF-475D-A146-440417555938}">
    <text>Also https://humberandnorthyorkshire.icb.nhs.uk/wp-content/uploads/2025/04/111-Percutaneous-Tibial-Nerve-Stimulation-PTNS-for-Faecal-Incontinence.docx</text>
    <extLst>
      <x:ext xmlns:xltc2="http://schemas.microsoft.com/office/spreadsheetml/2020/threadedcomments2" uri="{F7C98A9C-CBB3-438F-8F68-D28B6AF4A901}">
        <xltc2:checksum>3120870687</xltc2:checksum>
        <xltc2:hyperlink startIndex="5" length="145" url="https://humberandnorthyorkshire.icb.nhs.uk/wp-content/uploads/2025/04/111-Percutaneous-Tibial-Nerve-Stimulation-PTNS-for-Faecal-Incontinence.docx"/>
      </x:ext>
    </extLst>
  </threadedComment>
  <threadedComment ref="Z110" dT="2025-06-23T14:59:44.57" personId="{95736710-EFA0-493C-AAE5-6E4C07E0F9AD}" id="{D9C80ECA-5A25-480C-A842-45228DF6FA1E}">
    <text>Unable to find</text>
  </threadedComment>
  <threadedComment ref="C111" dT="2025-06-03T11:12:08.60" personId="{95736710-EFA0-493C-AAE5-6E4C07E0F9AD}" id="{4A7C492A-81CE-423C-A093-7B07277E4455}">
    <text>Unable to find on website</text>
  </threadedComment>
  <threadedComment ref="G111" dT="2025-06-13T14:58:18.53" personId="{95736710-EFA0-493C-AAE5-6E4C07E0F9AD}" id="{F9D45CB2-163D-4EDF-BC0A-FAC31C926751}">
    <text>Unable to find</text>
  </threadedComment>
  <threadedComment ref="U111" dT="2025-06-22T20:24:25.65" personId="{95736710-EFA0-493C-AAE5-6E4C07E0F9AD}" id="{2C9F03CE-97C9-4BFA-9A98-D880DD20DEBF}">
    <text>EBI https://www.hweclinicalguidance.nhs.uk/all-clinical-areas-documents/search-results/injections-and-radiofrequency-denervation-for-non-specific-back-pain/</text>
    <extLst>
      <x:ext xmlns:xltc2="http://schemas.microsoft.com/office/spreadsheetml/2020/threadedcomments2" uri="{F7C98A9C-CBB3-438F-8F68-D28B6AF4A901}">
        <xltc2:checksum>3972476594</xltc2:checksum>
        <xltc2:hyperlink startIndex="4" length="152" url="https://www.hweclinicalguidance.nhs.uk/all-clinical-areas-documents/search-results/injections-and-radiofrequency-denervation-for-non-specific-back-pain/"/>
      </x:ext>
    </extLst>
  </threadedComment>
  <threadedComment ref="AA111" dT="2025-06-27T10:50:10.65" personId="{95736710-EFA0-493C-AAE5-6E4C07E0F9AD}" id="{ECBC2009-1D8C-48CD-8871-36C731C11D14}">
    <text>Tick - https://www.midandsouthessex.ics.nhs.uk/publications/srp-095-spinal-injections-for-low-back-pain-and-radicular-leg-pain/</text>
    <extLst>
      <x:ext xmlns:xltc2="http://schemas.microsoft.com/office/spreadsheetml/2020/threadedcomments2" uri="{F7C98A9C-CBB3-438F-8F68-D28B6AF4A901}">
        <xltc2:checksum>957835896</xltc2:checksum>
        <xltc2:hyperlink startIndex="7" length="120" url="https://www.midandsouthessex.ics.nhs.uk/publications/srp-095-spinal-injections-for-low-back-pain-and-radicular-leg-pain/"/>
      </x:ext>
    </extLst>
  </threadedComment>
  <threadedComment ref="E112" dT="2025-06-11T19:21:22.61" personId="{95736710-EFA0-493C-AAE5-6E4C07E0F9AD}" id="{FA4CA7F6-17E4-43D9-B75C-89A01358110E}">
    <text>Should be a tick https://www.birminghamsolihull.icb.nhs.uk/application/files/8117/4134/4777/Policy_for_Continuous_Glucose_Monitoring_v3.0.pdf</text>
    <extLst>
      <x:ext xmlns:xltc2="http://schemas.microsoft.com/office/spreadsheetml/2020/threadedcomments2" uri="{F7C98A9C-CBB3-438F-8F68-D28B6AF4A901}">
        <xltc2:checksum>770018446</xltc2:checksum>
        <xltc2:hyperlink startIndex="17" length="124" url="https://www.birminghamsolihull.icb.nhs.uk/application/files/8117/4134/4777/Policy_for_Continuous_Glucose_Monitoring_v3.0.pdf"/>
      </x:ext>
    </extLst>
  </threadedComment>
  <threadedComment ref="G112" dT="2025-06-13T15:04:11.95" personId="{95736710-EFA0-493C-AAE5-6E4C07E0F9AD}" id="{668DF6DC-1288-406C-9277-E9BB15F82D57}">
    <text>https://bnssghealthiertogether.org.uk/wp-content/uploads/2023/12/FOI.ICB-2223_100-Final-Response.pdf Criteria based</text>
    <extLst>
      <x:ext xmlns:xltc2="http://schemas.microsoft.com/office/spreadsheetml/2020/threadedcomments2" uri="{F7C98A9C-CBB3-438F-8F68-D28B6AF4A901}">
        <xltc2:checksum>2173594859</xltc2:checksum>
        <xltc2:hyperlink startIndex="0" length="100" url="https://bnssghealthiertogether.org.uk/wp-content/uploads/2023/12/FOI.ICB-2223_100-Final-Response.pdf"/>
      </x:ext>
    </extLst>
  </threadedComment>
  <threadedComment ref="L112" dT="2025-06-18T12:00:34.81" personId="{95736710-EFA0-493C-AAE5-6E4C07E0F9AD}" id="{306591A5-A577-4947-99C5-8D32744266A4}">
    <text>Should be a tick https://www.happyhealthylives.uk/clientfiles/files/document_library/CGM%20policy%20FINAL%20approved.docx</text>
    <extLst>
      <x:ext xmlns:xltc2="http://schemas.microsoft.com/office/spreadsheetml/2020/threadedcomments2" uri="{F7C98A9C-CBB3-438F-8F68-D28B6AF4A901}">
        <xltc2:checksum>2144167528</xltc2:checksum>
        <xltc2:hyperlink startIndex="17" length="104" url="https://www.happyhealthylives.uk/clientfiles/files/document_library/CGM%20policy%20FINAL%20approved.docx"/>
      </x:ext>
    </extLst>
  </threadedComment>
  <threadedComment ref="M112" dT="2025-06-18T13:23:42.63" personId="{95736710-EFA0-493C-AAE5-6E4C07E0F9AD}" id="{01C9F8DF-3492-4159-9D50-68D22A91CBFF}">
    <text>Unable to find</text>
  </threadedComment>
  <threadedComment ref="AQ112" dT="2025-06-28T11:52:17.38" personId="{95736710-EFA0-493C-AAE5-6E4C07E0F9AD}" id="{4C0073C6-88AF-49C6-84B0-510001E344DC}">
    <text>Tick https://www.wypartnership.co.uk/application/files/1316/8381/1462/WYICB_Commissioning_Policy_for_CGM_21.04.23.pdf</text>
    <extLst>
      <x:ext xmlns:xltc2="http://schemas.microsoft.com/office/spreadsheetml/2020/threadedcomments2" uri="{F7C98A9C-CBB3-438F-8F68-D28B6AF4A901}">
        <xltc2:checksum>136904860</xltc2:checksum>
        <xltc2:hyperlink startIndex="5" length="112" url="https://www.wypartnership.co.uk/application/files/1316/8381/1462/WYICB_Commissioning_Policy_for_CGM_21.04.23.pdf"/>
      </x:ext>
    </extLst>
  </threadedComment>
  <threadedComment ref="F113" dT="2025-06-13T10:06:50.93" personId="{95736710-EFA0-493C-AAE5-6E4C07E0F9AD}" id="{A98D6B1D-B79A-4183-A1D1-6829C6026BB8}">
    <text xml:space="preserve">EBI: 
Repeat colonoscopy
A colonoscopy is a routine test to examine the lining of your bowel, also called the large intestine or colon.
https://blackcountry.icb.nhs.uk/have-your-say/get-involved/current-consultations-and-engagement/clinical-policy-review2
</text>
    <extLst>
      <x:ext xmlns:xltc2="http://schemas.microsoft.com/office/spreadsheetml/2020/threadedcomments2" uri="{F7C98A9C-CBB3-438F-8F68-D28B6AF4A901}">
        <xltc2:checksum>3723180663</xltc2:checksum>
        <xltc2:hyperlink startIndex="136" length="119" url="https://blackcountry.icb.nhs.uk/have-your-say/get-involved/current-consultations-and-engagement/clinical-policy-review2"/>
      </x:ext>
    </extLst>
  </threadedComment>
  <threadedComment ref="K113" dT="2025-06-18T11:13:08.14" personId="{95736710-EFA0-493C-AAE5-6E4C07E0F9AD}" id="{EC46DDE5-B161-4F96-B986-D804D936C17F}">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M113" dT="2025-06-18T13:24:31.70" personId="{95736710-EFA0-493C-AAE5-6E4C07E0F9AD}" id="{7C4B8D72-B1DA-4DB8-9FDA-92AEC83B63A3}">
    <text>Prior approval https://www.derbyshiremedicinesmanagement.nhs.uk/assets/Clinical-Policies/Clinical_Policies/PLCV/general_surgery/Appropriate_colonoscopy_in_hereditary_colorectal_cancer%20.pdf</text>
    <extLst>
      <x:ext xmlns:xltc2="http://schemas.microsoft.com/office/spreadsheetml/2020/threadedcomments2" uri="{F7C98A9C-CBB3-438F-8F68-D28B6AF4A901}">
        <xltc2:checksum>3163328227</xltc2:checksum>
        <xltc2:hyperlink startIndex="15" length="175" url="https://www.derbyshiremedicinesmanagement.nhs.uk/assets/Clinical-Policies/Clinical_Policies/PLCV/general_surgery/Appropriate_colonoscopy_in_hereditary_colorectal_cancer%20.pdf"/>
      </x:ext>
    </extLst>
  </threadedComment>
  <threadedComment ref="F114" dT="2025-06-13T10:06:50.93" personId="{95736710-EFA0-493C-AAE5-6E4C07E0F9AD}" id="{74919466-5E58-48A7-A4A9-D0DF2B51B65D}">
    <text xml:space="preserve">EBI: 
Repeat colonoscopy
A colonoscopy is a routine test to examine the lining of your bowel, also called the large intestine or colon.
https://blackcountry.icb.nhs.uk/have-your-say/get-involved/current-consultations-and-engagement/clinical-policy-review2
</text>
    <extLst>
      <x:ext xmlns:xltc2="http://schemas.microsoft.com/office/spreadsheetml/2020/threadedcomments2" uri="{F7C98A9C-CBB3-438F-8F68-D28B6AF4A901}">
        <xltc2:checksum>3723180663</xltc2:checksum>
        <xltc2:hyperlink startIndex="136" length="119" url="https://blackcountry.icb.nhs.uk/have-your-say/get-involved/current-consultations-and-engagement/clinical-policy-review2"/>
      </x:ext>
    </extLst>
  </threadedComment>
  <threadedComment ref="K114" dT="2025-06-18T11:13:08.14" personId="{95736710-EFA0-493C-AAE5-6E4C07E0F9AD}" id="{FF80729B-1D74-4CA4-86C1-739EC49BAB05}">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M114" dT="2025-06-18T13:24:55.43" personId="{95736710-EFA0-493C-AAE5-6E4C07E0F9AD}" id="{51BF56F3-0E09-42DE-84F2-E38D9FAA8B13}">
    <text>Prior approval https://www.derbyshiremedicinesmanagement.nhs.uk/assets/Clinical-Policies/Clinical_Policies/PLCV/general_surgery/Repeat_Colonoscopy.pdf</text>
    <extLst>
      <x:ext xmlns:xltc2="http://schemas.microsoft.com/office/spreadsheetml/2020/threadedcomments2" uri="{F7C98A9C-CBB3-438F-8F68-D28B6AF4A901}">
        <xltc2:checksum>3410766826</xltc2:checksum>
        <xltc2:hyperlink startIndex="15" length="135" url="https://www.derbyshiremedicinesmanagement.nhs.uk/assets/Clinical-Policies/Clinical_Policies/PLCV/general_surgery/Repeat_Colonoscopy.pdf"/>
      </x:ext>
    </extLst>
  </threadedComment>
  <threadedComment ref="U115" dT="2025-06-22T20:26:03.60" personId="{95736710-EFA0-493C-AAE5-6E4C07E0F9AD}" id="{51D78FB3-10C6-4803-B1EB-B63DA254B36E}">
    <text>IFR https://www.hweclinicalguidance.nhs.uk/all-clinical-areas-documents/search-results/transcranial-magnetic-stimulation-tms-and-rtms/</text>
    <extLst>
      <x:ext xmlns:xltc2="http://schemas.microsoft.com/office/spreadsheetml/2020/threadedcomments2" uri="{F7C98A9C-CBB3-438F-8F68-D28B6AF4A901}">
        <xltc2:checksum>2445659811</xltc2:checksum>
        <xltc2:hyperlink startIndex="4" length="130" url="https://www.hweclinicalguidance.nhs.uk/all-clinical-areas-documents/search-results/transcranial-magnetic-stimulation-tms-and-rtms/"/>
      </x:ext>
    </extLst>
  </threadedComment>
  <threadedComment ref="AA115" dT="2025-06-27T10:53:01.96" personId="{95736710-EFA0-493C-AAE5-6E4C07E0F9AD}" id="{3770BC46-81EC-4339-99D0-393E0138AC5C}">
    <text>IFR https://www.midandsouthessex.ics.nhs.uk/publications/srp-105-transcranial-magnetic-stimulation/</text>
    <extLst>
      <x:ext xmlns:xltc2="http://schemas.microsoft.com/office/spreadsheetml/2020/threadedcomments2" uri="{F7C98A9C-CBB3-438F-8F68-D28B6AF4A901}">
        <xltc2:checksum>3082428186</xltc2:checksum>
        <xltc2:hyperlink startIndex="4" length="95" url="https://www.midandsouthessex.ics.nhs.uk/publications/srp-105-transcranial-magnetic-stimulation/"/>
      </x:ext>
    </extLst>
  </threadedComment>
  <threadedComment ref="AB115" dT="2025-06-27T11:35:24.10" personId="{95736710-EFA0-493C-AAE5-6E4C07E0F9AD}" id="{D2C0BAA7-317B-472E-90D5-B5A891522E4A}">
    <text>IFR https://nwknowledgenow.nhs.uk/content/transcranial-magnetic-stimulation/</text>
    <extLst>
      <x:ext xmlns:xltc2="http://schemas.microsoft.com/office/spreadsheetml/2020/threadedcomments2" uri="{F7C98A9C-CBB3-438F-8F68-D28B6AF4A901}">
        <xltc2:checksum>1948048585</xltc2:checksum>
        <xltc2:hyperlink startIndex="4" length="72" url="https://nwknowledgenow.nhs.uk/content/transcranial-magnetic-stimulation/"/>
      </x:ext>
    </extLst>
  </threadedComment>
  <threadedComment ref="C116" dT="2025-06-03T11:12:21.43" personId="{95736710-EFA0-493C-AAE5-6E4C07E0F9AD}" id="{3A59F4D7-E736-4247-AC99-38733FCF2013}">
    <text>IFR - https://bsw.icb.nhs.uk/wp-content/uploads/sites/6/2023/09/BSW-ICB-CP025-Reversal-of-Sterilisation.pdf</text>
    <extLst>
      <x:ext xmlns:xltc2="http://schemas.microsoft.com/office/spreadsheetml/2020/threadedcomments2" uri="{F7C98A9C-CBB3-438F-8F68-D28B6AF4A901}">
        <xltc2:checksum>3993351105</xltc2:checksum>
        <xltc2:hyperlink startIndex="6" length="101" url="https://bsw.icb.nhs.uk/wp-content/uploads/sites/6/2023/09/BSW-ICB-CP025-Reversal-of-Sterilisation.pdf"/>
      </x:ext>
    </extLst>
  </threadedComment>
  <threadedComment ref="R116" dT="2025-06-18T21:20:47.78" personId="{95736710-EFA0-493C-AAE5-6E4C07E0F9AD}" id="{D3C748CB-BB34-4B6B-A223-412F0B508023}">
    <text>https://www.gmeurnhs.co.uk/nhsgmgmicbblobstorage/GMEUR/Other%20Policies/Assisted%20Conception%20Policy%20BLUETEQ%20ALL%20CCGS%20FOR%20TEAM.pdf not comisioned</text>
    <extLst>
      <x:ext xmlns:xltc2="http://schemas.microsoft.com/office/spreadsheetml/2020/threadedcomments2" uri="{F7C98A9C-CBB3-438F-8F68-D28B6AF4A901}">
        <xltc2:checksum>3619195822</xltc2:checksum>
        <xltc2:hyperlink startIndex="0" length="142" url="https://www.gmeurnhs.co.uk/nhsgmgmicbblobstorage/GMEUR/Other%20Policies/Assisted%20Conception%20Policy%20BLUETEQ%20ALL%20CCGS%20FOR%20TEAM.pdf"/>
      </x:ext>
    </extLst>
  </threadedComment>
  <threadedComment ref="AG116" dT="2025-06-27T22:21:51.72" personId="{95736710-EFA0-493C-AAE5-6E4C07E0F9AD}" id="{1B66AD76-98D8-493F-9717-DE9371768164}">
    <text>IFR - https://www.icnorthamptonshire.org.uk/download.cfm?doc=docm93jijm4n19774&amp;ver=65856</text>
    <extLst>
      <x:ext xmlns:xltc2="http://schemas.microsoft.com/office/spreadsheetml/2020/threadedcomments2" uri="{F7C98A9C-CBB3-438F-8F68-D28B6AF4A901}">
        <xltc2:checksum>48287055</xltc2:checksum>
        <xltc2:hyperlink startIndex="6" length="82" url="https://www.icnorthamptonshire.org.uk/download.cfm?doc=docm93jijm4n19774&amp;ver=65856"/>
      </x:ext>
    </extLst>
  </threadedComment>
  <threadedComment ref="AK116" dT="2025-06-26T20:58:42.04" personId="{95736710-EFA0-493C-AAE5-6E4C07E0F9AD}" id="{08E17F6C-96BF-4E4B-B468-4487F731FE5A}">
    <text>“Reversal of vasectomy or sterilisation” “No longer needing to be referenced in TAP  ” If a particular procedure/approach is not listed within local policies then it is not commissioned and not available. https://www.selondonics.org/wp-content/uploads/dlm_uploads/SEL-Treatment-Access-Policy-July-2024-v1.pdf</text>
    <extLst>
      <x:ext xmlns:xltc2="http://schemas.microsoft.com/office/spreadsheetml/2020/threadedcomments2" uri="{F7C98A9C-CBB3-438F-8F68-D28B6AF4A901}">
        <xltc2:checksum>2493727100</xltc2:checksum>
        <xltc2:hyperlink startIndex="205" length="103" url="https://www.selondonics.org/wp-content/uploads/dlm_uploads/SEL-Treatment-Access-Policy-July-2024-v1.pdf"/>
      </x:ext>
    </extLst>
  </threadedComment>
  <threadedComment ref="AB117" dT="2025-06-27T11:30:59.50" personId="{95736710-EFA0-493C-AAE5-6E4C07E0F9AD}" id="{72ACC593-DEAE-47CC-B056-B1F85A3376A8}">
    <text>Funded tick “sacral nerve stimulation for faecal incontinence and urinary incontinence ”https://nwknowledgenow.nhs.uk/content/neurostimulation/</text>
    <extLst>
      <x:ext xmlns:xltc2="http://schemas.microsoft.com/office/spreadsheetml/2020/threadedcomments2" uri="{F7C98A9C-CBB3-438F-8F68-D28B6AF4A901}">
        <xltc2:checksum>3328163617</xltc2:checksum>
        <xltc2:hyperlink startIndex="88" length="55" url="https://nwknowledgenow.nhs.uk/content/neurostimulation/"/>
      </x:ext>
    </extLst>
  </threadedComment>
  <threadedComment ref="D118" dT="2025-06-11T14:55:26.52" personId="{95736710-EFA0-493C-AAE5-6E4C07E0F9AD}" id="{AE639C35-EDD4-43D1-B60D-8C225FD41324}">
    <text>https://bedfordshirelutonandmiltonkeynes.icb.nhs.uk/our-publications/policies/evidence-based-clinical-policies/treatment-of-scars/?layout=file - criteria based access with ref to not normally funded if cosmetic</text>
    <extLst>
      <x:ext xmlns:xltc2="http://schemas.microsoft.com/office/spreadsheetml/2020/threadedcomments2" uri="{F7C98A9C-CBB3-438F-8F68-D28B6AF4A901}">
        <xltc2:checksum>990937358</xltc2:checksum>
        <xltc2:hyperlink startIndex="0" length="142" url="https://bedfordshirelutonandmiltonkeynes.icb.nhs.uk/our-publications/policies/evidence-based-clinical-policies/treatment-of-scars/?layout=file"/>
      </x:ext>
    </extLst>
  </threadedComment>
  <threadedComment ref="J118" dT="2025-06-17T22:43:55.34" personId="{95736710-EFA0-493C-AAE5-6E4C07E0F9AD}" id="{82281A8B-8E8A-45EE-BA04-650D2F1A020B}">
    <text>https://www.cheshireandmerseyside.nhs.uk/media/ujsbgw4v/pol-clin103-scars-surgical-revision-final-v03.pdf criteria based</text>
    <extLst>
      <x:ext xmlns:xltc2="http://schemas.microsoft.com/office/spreadsheetml/2020/threadedcomments2" uri="{F7C98A9C-CBB3-438F-8F68-D28B6AF4A901}">
        <xltc2:checksum>3374267711</xltc2:checksum>
        <xltc2:hyperlink startIndex="0" length="105" url="https://www.cheshireandmerseyside.nhs.uk/media/ujsbgw4v/pol-clin103-scars-surgical-revision-final-v03.pdf"/>
      </x:ext>
    </extLst>
  </threadedComment>
  <threadedComment ref="R118" dT="2025-06-18T21:22:19.60" personId="{95736710-EFA0-493C-AAE5-6E4C07E0F9AD}" id="{2A381499-15FA-4ACF-9580-5D3CD133D1BF}">
    <text>Criteria based https://nhsgmgmicbsa.blob.core.windows.net/nhsgmgmicbblobstorage/GMEUR/Commissioning%20Statements/GM%20Commissioning%20Statements%20descriptions.pdf</text>
    <extLst>
      <x:ext xmlns:xltc2="http://schemas.microsoft.com/office/spreadsheetml/2020/threadedcomments2" uri="{F7C98A9C-CBB3-438F-8F68-D28B6AF4A901}">
        <xltc2:checksum>2210288929</xltc2:checksum>
        <xltc2:hyperlink startIndex="15" length="148" url="https://nhsgmgmicbsa.blob.core.windows.net/nhsgmgmicbblobstorage/GMEUR/Commissioning%20Statements/GM%20Commissioning%20Statements%20descriptions.pdf"/>
      </x:ext>
    </extLst>
  </threadedComment>
  <threadedComment ref="Z118" dT="2025-06-24T08:40:22.50" personId="{95736710-EFA0-493C-AAE5-6E4C07E0F9AD}" id="{83B5286D-2869-4F27-AB61-45AF32AA1ED6}">
    <text>IFR https://lincolnshire.icb.nhs.uk/~documents/icb-publications/our-policies-and-procedures/clinical-governance/cg-003-prior-approval-policy/?layout=file</text>
    <extLst>
      <x:ext xmlns:xltc2="http://schemas.microsoft.com/office/spreadsheetml/2020/threadedcomments2" uri="{F7C98A9C-CBB3-438F-8F68-D28B6AF4A901}">
        <xltc2:checksum>2675990717</xltc2:checksum>
        <xltc2:hyperlink startIndex="4" length="149" url="https://lincolnshire.icb.nhs.uk/~documents/icb-publications/our-policies-and-procedures/clinical-governance/cg-003-prior-approval-policy/?layout=file"/>
      </x:ext>
    </extLst>
  </threadedComment>
  <threadedComment ref="AH118" dT="2025-06-26T19:39:39.75" personId="{95736710-EFA0-493C-AAE5-6E4C07E0F9AD}" id="{6299D1A8-51D2-41F7-BE4D-872DACEBDBAC}">
    <text>Prior approval - Disfiguring scars and keloid or hypertrophic scars (including acne scarring), whether arising from prior injury or surgery, are also included in the scope of this policy https://notts.icb.nhs.uk/wp-content/uploads/sites/2/2022/04/Value-Based-Commissioning-PolicyV1.4-2.pdf</text>
    <extLst>
      <x:ext xmlns:xltc2="http://schemas.microsoft.com/office/spreadsheetml/2020/threadedcomments2" uri="{F7C98A9C-CBB3-438F-8F68-D28B6AF4A901}">
        <xltc2:checksum>1906082117</xltc2:checksum>
        <xltc2:hyperlink startIndex="187" length="102" url="https://notts.icb.nhs.uk/wp-content/uploads/sites/2/2022/04/Value-Based-Commissioning-PolicyV1.4-2.pdf"/>
      </x:ext>
    </extLst>
  </threadedComment>
  <threadedComment ref="AL118" dT="2025-06-26T21:41:21.09" personId="{95736710-EFA0-493C-AAE5-6E4C07E0F9AD}" id="{1943D1C6-5B4B-4CD2-BC0B-E67F16FA022E}">
    <text xml:space="preserve">?IFR or criteria? Revision surgery for scars will not be routinely commissioned by the NHS for cosmetic reasons. Cases may be considered on an exceptional basis, for example where the patient: • has significant deformity, severe functional problems, or needs surgery to restore normal function or • has a scar resulting in significant facial disfigurement </text>
  </threadedComment>
  <threadedComment ref="K119" dT="2025-06-18T11:14:25.79" personId="{95736710-EFA0-493C-AAE5-6E4C07E0F9AD}" id="{46AA92BB-51F3-4A5F-B93A-1C7D4E395F61}">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M119" dT="2025-06-18T13:27:11.26" personId="{95736710-EFA0-493C-AAE5-6E4C07E0F9AD}" id="{D98DAB98-8120-431A-8027-445F298E35E7}">
    <text>IFR https://www.derbyshiremedicinesmanagement.nhs.uk/assets/Clinical-Policies/Clinical_Policies/PLCV/cardiology/Asymptomatic_carotid_artery_stenosis_screening.pdf</text>
    <extLst>
      <x:ext xmlns:xltc2="http://schemas.microsoft.com/office/spreadsheetml/2020/threadedcomments2" uri="{F7C98A9C-CBB3-438F-8F68-D28B6AF4A901}">
        <xltc2:checksum>3793202909</xltc2:checksum>
        <xltc2:hyperlink startIndex="4" length="158" url="https://www.derbyshiremedicinesmanagement.nhs.uk/assets/Clinical-Policies/Clinical_Policies/PLCV/cardiology/Asymptomatic_carotid_artery_stenosis_screening.pdf"/>
      </x:ext>
    </extLst>
  </threadedComment>
  <threadedComment ref="J120" dT="2025-06-18T09:48:36.24" personId="{95736710-EFA0-493C-AAE5-6E4C07E0F9AD}" id="{1C969CD2-7BAF-4AEA-AD52-557882783CA4}">
    <text>Tick https://www.cheshireandmerseyside.nhs.uk/media/eosid3bq/pol-clin105-hydrocele-final-v04.pdf</text>
    <extLst>
      <x:ext xmlns:xltc2="http://schemas.microsoft.com/office/spreadsheetml/2020/threadedcomments2" uri="{F7C98A9C-CBB3-438F-8F68-D28B6AF4A901}">
        <xltc2:checksum>173587450</xltc2:checksum>
        <xltc2:hyperlink startIndex="5" length="91" url="https://www.cheshireandmerseyside.nhs.uk/media/eosid3bq/pol-clin105-hydrocele-final-v04.pdf"/>
      </x:ext>
    </extLst>
  </threadedComment>
  <threadedComment ref="K120" dT="2025-06-18T10:46:44.64" personId="{95736710-EFA0-493C-AAE5-6E4C07E0F9AD}" id="{9815367F-DD31-4AD4-BF77-98FA0F82EEF1}">
    <text>Testicular prosthesis IFR https://cios.icb.nhs.uk/health/treatment-policies/</text>
    <extLst>
      <x:ext xmlns:xltc2="http://schemas.microsoft.com/office/spreadsheetml/2020/threadedcomments2" uri="{F7C98A9C-CBB3-438F-8F68-D28B6AF4A901}">
        <xltc2:checksum>3825141934</xltc2:checksum>
        <xltc2:hyperlink startIndex="26" length="50" url="https://cios.icb.nhs.uk/health/treatment-policies/"/>
      </x:ext>
    </extLst>
  </threadedComment>
  <threadedComment ref="U120" dT="2025-06-22T20:28:18.06" personId="{95736710-EFA0-493C-AAE5-6E4C07E0F9AD}" id="{7EEBCBA4-3A69-40F9-9E1A-86C16AE0B01D}">
    <text>Unable to find</text>
  </threadedComment>
  <threadedComment ref="AM121" dT="2025-06-26T22:59:32.39" personId="{95736710-EFA0-493C-AAE5-6E4C07E0F9AD}" id="{3E51B962-1C1E-4733-8C7B-891DE88FC9CC}">
    <text>Tick - Shoulder Replacement Surgery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853617953</xltc2:checksum>
        <xltc2:hyperlink startIndex="36" length="189" url="https://staffsstoke.icb.nhs.uk/your-nhs-integrated-care-board/our-publications/governance-handbook/all-policies/commissioning/icb-excluded-and-restricted-procedures-policy-v3-1/?layout=file"/>
      </x:ext>
    </extLst>
  </threadedComment>
  <threadedComment ref="T122" dT="2025-06-22T19:24:23.64" personId="{95736710-EFA0-493C-AAE5-6E4C07E0F9AD}" id="{4192389E-DE40-4CFA-A82D-8EAD67ECF7D7}">
    <text>Unable to find ref</text>
  </threadedComment>
  <threadedComment ref="J123" dT="2025-06-18T09:27:25.92" personId="{95736710-EFA0-493C-AAE5-6E4C07E0F9AD}" id="{2E619722-3526-47BB-903D-087961937B11}">
    <text>Should be a tick https://www.cheshireandmerseyside.nhs.uk/media/glgbhefd/pol-clin088-lumbarspinaldecompression-final-v04.pdf</text>
    <extLst>
      <x:ext xmlns:xltc2="http://schemas.microsoft.com/office/spreadsheetml/2020/threadedcomments2" uri="{F7C98A9C-CBB3-438F-8F68-D28B6AF4A901}">
        <xltc2:checksum>3666070810</xltc2:checksum>
        <xltc2:hyperlink startIndex="17" length="107" url="https://www.cheshireandmerseyside.nhs.uk/media/glgbhefd/pol-clin088-lumbarspinaldecompression-final-v04.pdf"/>
      </x:ext>
    </extLst>
  </threadedComment>
  <threadedComment ref="K123" dT="2025-06-18T11:15:20.64" personId="{95736710-EFA0-493C-AAE5-6E4C07E0F9AD}" id="{95E5FCB1-32B6-4286-AEDB-3FB1A6C24F9F}">
    <text>Spinal fusion is appropriate during spinal decompression surgery for nerve compression, where a more extensive exposure of the affected neurological structures is required and would otherwise render the spine unstable. https://docs.cios.icb.nhs.uk/DocumentsLibrary/NHSCornwallAndIslesOfScilly/Services/IndividualFundingRequests/CommissioningPolicies.pdf ?tick</text>
    <extLst>
      <x:ext xmlns:xltc2="http://schemas.microsoft.com/office/spreadsheetml/2020/threadedcomments2" uri="{F7C98A9C-CBB3-438F-8F68-D28B6AF4A901}">
        <xltc2:checksum>1601888819</xltc2:checksum>
        <xltc2:hyperlink startIndex="219" length="134" url="https://docs.cios.icb.nhs.uk/DocumentsLibrary/NHSCornwallAndIslesOfScilly/Services/IndividualFundingRequests/CommissioningPolicies.pdf"/>
      </x:ext>
    </extLst>
  </threadedComment>
  <threadedComment ref="Q123" dT="2025-06-18T19:05:49.38" personId="{95736710-EFA0-493C-AAE5-6E4C07E0F9AD}" id="{8AC7CF1A-1AB0-4F61-87BF-05E4F3695C01}">
    <text>Unable to find ref</text>
  </threadedComment>
  <threadedComment ref="C124" dT="2025-06-03T11:17:12.44" personId="{95736710-EFA0-493C-AAE5-6E4C07E0F9AD}" id="{628C19B2-0517-48F7-99D7-A504367586FC}">
    <text>IFR - https://bsw.icb.nhs.uk/wp-content/uploads/sites/6/2023/09/BSW-ICB-CP039-Spinal-pain-Neck-and-lower-back.pdf</text>
    <extLst>
      <x:ext xmlns:xltc2="http://schemas.microsoft.com/office/spreadsheetml/2020/threadedcomments2" uri="{F7C98A9C-CBB3-438F-8F68-D28B6AF4A901}">
        <xltc2:checksum>3082736208</xltc2:checksum>
        <xltc2:hyperlink startIndex="6" length="107" url="https://bsw.icb.nhs.uk/wp-content/uploads/sites/6/2023/09/BSW-ICB-CP039-Spinal-pain-Neck-and-lower-back.pdf"/>
      </x:ext>
    </extLst>
  </threadedComment>
  <threadedComment ref="E124" dT="2025-06-11T19:31:15.22" personId="{95736710-EFA0-493C-AAE5-6E4C07E0F9AD}" id="{5AE91639-29A6-4216-9E69-AEEC22280237}">
    <text>Options not recommended https://www.birminghamsolihull.icb.nhs.uk/application/files/4016/4863/7471/Policy_for_Low_Back_Pain_and_Radicular_Pain.pdf - therefore IFR?</text>
    <extLst>
      <x:ext xmlns:xltc2="http://schemas.microsoft.com/office/spreadsheetml/2020/threadedcomments2" uri="{F7C98A9C-CBB3-438F-8F68-D28B6AF4A901}">
        <xltc2:checksum>1047518549</xltc2:checksum>
        <xltc2:hyperlink startIndex="24" length="122" url="https://www.birminghamsolihull.icb.nhs.uk/application/files/4016/4863/7471/Policy_for_Low_Back_Pain_and_Radicular_Pain.pdf"/>
      </x:ext>
    </extLst>
  </threadedComment>
  <threadedComment ref="H124" dT="2025-06-17T17:55:49.06" personId="{95736710-EFA0-493C-AAE5-6E4C07E0F9AD}" id="{B04DA113-3719-4894-A052-7EF142A6B1F3}">
    <text>IFR https://www.bucksoxonberksw.icb.nhs.uk/media/4176/bobfpc52-management-of-low-back-pain-and-sciatica.pdf</text>
    <extLst>
      <x:ext xmlns:xltc2="http://schemas.microsoft.com/office/spreadsheetml/2020/threadedcomments2" uri="{F7C98A9C-CBB3-438F-8F68-D28B6AF4A901}">
        <xltc2:checksum>1653512148</xltc2:checksum>
        <xltc2:hyperlink startIndex="4" length="103" url="https://www.bucksoxonberksw.icb.nhs.uk/media/4176/bobfpc52-management-of-low-back-pain-and-sciatica.pdf"/>
      </x:ext>
    </extLst>
  </threadedComment>
  <threadedComment ref="I124" dT="2025-06-17T21:44:44.00" personId="{95736710-EFA0-493C-AAE5-6E4C07E0F9AD}" id="{A4031099-141F-4AB7-89D4-8270E21A4D82}">
    <text>Low back policy CBA https://www.cpics.org.uk/clinical-policies/</text>
    <extLst>
      <x:ext xmlns:xltc2="http://schemas.microsoft.com/office/spreadsheetml/2020/threadedcomments2" uri="{F7C98A9C-CBB3-438F-8F68-D28B6AF4A901}">
        <xltc2:checksum>4122249043</xltc2:checksum>
        <xltc2:hyperlink startIndex="20" length="43" url="https://www.cpics.org.uk/clinical-policies/"/>
      </x:ext>
    </extLst>
  </threadedComment>
  <threadedComment ref="N124" dT="2025-06-18T14:25:40.86" personId="{95736710-EFA0-493C-AAE5-6E4C07E0F9AD}" id="{DA0C0219-8DFE-485C-B498-EC10CABA00F6}">
    <text xml:space="preserve">Not commissioned Fusion surgery for non-specific, mechanical back pain
</text>
    <extLst>
      <x:ext xmlns:xltc2="http://schemas.microsoft.com/office/spreadsheetml/2020/threadedcomments2" uri="{F7C98A9C-CBB3-438F-8F68-D28B6AF4A901}">
        <xltc2:checksum>2021909601</xltc2:checksum>
        <xltc2:hyperlink startIndex="17" length="53" url="https://onedevon.org.uk/download/fusion-surgery-for-non-specific-mechanical-back-pain/?wpdmdl=7453&amp;refresh=6852cc46c32631750256710"/>
      </x:ext>
    </extLst>
  </threadedComment>
  <threadedComment ref="R124" dT="2025-06-18T21:23:16.21" personId="{95736710-EFA0-493C-AAE5-6E4C07E0F9AD}" id="{C420745C-A3DF-4DE4-8300-A0A87ABCD5BC}">
    <text>Not comissioned https://nhsgmgmicbsa.blob.core.windows.net/nhsgmgmicbblobstorage/GMEUR/Commissioning%20Statements/NHSGM%20-%20005.pdf</text>
    <extLst>
      <x:ext xmlns:xltc2="http://schemas.microsoft.com/office/spreadsheetml/2020/threadedcomments2" uri="{F7C98A9C-CBB3-438F-8F68-D28B6AF4A901}">
        <xltc2:checksum>2766175526</xltc2:checksum>
        <xltc2:hyperlink startIndex="16" length="117" url="https://nhsgmgmicbsa.blob.core.windows.net/nhsgmgmicbblobstorage/GMEUR/Commissioning%20Statements/NHSGM%20-%20005.pdf"/>
      </x:ext>
    </extLst>
  </threadedComment>
  <threadedComment ref="T124" dT="2025-06-22T18:13:59.59" personId="{95736710-EFA0-493C-AAE5-6E4C07E0F9AD}" id="{478FF769-3086-407F-9D74-B2A280AFD8EA}">
    <text>IFR https://www.hwics.org.uk/application/files/2117/0904/4510/ICB_MSK_Surgery_and_Therapy_V1.5_Final_6.pdf</text>
    <extLst>
      <x:ext xmlns:xltc2="http://schemas.microsoft.com/office/spreadsheetml/2020/threadedcomments2" uri="{F7C98A9C-CBB3-438F-8F68-D28B6AF4A901}">
        <xltc2:checksum>4080446901</xltc2:checksum>
        <xltc2:hyperlink startIndex="4" length="102" url="https://www.hwics.org.uk/application/files/2117/0904/4510/ICB_MSK_Surgery_and_Therapy_V1.5_Final_6.pdf"/>
      </x:ext>
    </extLst>
  </threadedComment>
  <threadedComment ref="U124" dT="2025-06-22T20:32:41.62" personId="{95736710-EFA0-493C-AAE5-6E4C07E0F9AD}" id="{6D9AC3D8-95C7-414D-B4D2-A3B25BB7DF71}">
    <text>Ref to EBI https://www.hweclinicalguidance.nhs.uk/all-clinical-areas-documents/search-results/injections-and-radiofrequency-denervation-for-non-specific-back-pain/</text>
    <extLst>
      <x:ext xmlns:xltc2="http://schemas.microsoft.com/office/spreadsheetml/2020/threadedcomments2" uri="{F7C98A9C-CBB3-438F-8F68-D28B6AF4A901}">
        <xltc2:checksum>1581977478</xltc2:checksum>
        <xltc2:hyperlink startIndex="11" length="152" url="https://www.hweclinicalguidance.nhs.uk/all-clinical-areas-documents/search-results/injections-and-radiofrequency-denervation-for-non-specific-back-pain/"/>
      </x:ext>
    </extLst>
  </threadedComment>
  <threadedComment ref="V124" dT="2025-06-22T21:54:55.84" personId="{95736710-EFA0-493C-AAE5-6E4C07E0F9AD}" id="{5FABC404-5AFD-4DA0-9EC1-CC74CE2A022A}">
    <text>https://humberandnorthyorkshire.icb.nhs.uk/documents-and-publications/commissioning-policies-2/</text>
    <extLst>
      <x:ext xmlns:xltc2="http://schemas.microsoft.com/office/spreadsheetml/2020/threadedcomments2" uri="{F7C98A9C-CBB3-438F-8F68-D28B6AF4A901}">
        <xltc2:checksum>1005319440</xltc2:checksum>
        <xltc2:hyperlink startIndex="0" length="95" url="https://humberandnorthyorkshire.icb.nhs.uk/documents-and-publications/commissioning-policies-2/"/>
      </x:ext>
    </extLst>
  </threadedComment>
  <threadedComment ref="V124" dT="2025-06-22T21:55:02.79" personId="{95736710-EFA0-493C-AAE5-6E4C07E0F9AD}" id="{74786ABC-3585-4DBD-BACC-2532A48B3E5D}" parentId="{5FABC404-5AFD-4DA0-9EC1-CC74CE2A022A}">
    <text>Under review</text>
  </threadedComment>
  <threadedComment ref="AA124" dT="2025-06-27T10:51:15.18" personId="{95736710-EFA0-493C-AAE5-6E4C07E0F9AD}" id="{16E5EAC8-9F28-4F15-A1A5-7B99C190A664}">
    <text xml:space="preserve">IFR “Do not offer spinal fusion for people with low back pain unless as part of a randomised controlled trial.  ” https://www.midandsouthessex.ics.nhs.uk/publications/srp-096-spinal-surgery-for-non-acute-lumbar-conditions/ </text>
    <extLst>
      <x:ext xmlns:xltc2="http://schemas.microsoft.com/office/spreadsheetml/2020/threadedcomments2" uri="{F7C98A9C-CBB3-438F-8F68-D28B6AF4A901}">
        <xltc2:checksum>3327600636</xltc2:checksum>
        <xltc2:hyperlink startIndex="114" length="108" url="https://www.midandsouthessex.ics.nhs.uk/publications/srp-096-spinal-surgery-for-non-acute-lumbar-conditions/"/>
      </x:ext>
    </extLst>
  </threadedComment>
  <threadedComment ref="AF124" dT="2025-06-27T21:41:39.68" personId="{95736710-EFA0-493C-AAE5-6E4C07E0F9AD}" id="{20517B6A-E660-45E9-801F-226EE86BE89E}">
    <text>https://www.nwlondonicb.nhs.uk/application/files/7416/7664/3313/Low_Back_Pain_and_Sciatica_Policy_v7.pdf IFR</text>
    <extLst>
      <x:ext xmlns:xltc2="http://schemas.microsoft.com/office/spreadsheetml/2020/threadedcomments2" uri="{F7C98A9C-CBB3-438F-8F68-D28B6AF4A901}">
        <xltc2:checksum>3644371848</xltc2:checksum>
        <xltc2:hyperlink startIndex="0" length="104" url="https://www.nwlondonicb.nhs.uk/application/files/7416/7664/3313/Low_Back_Pain_and_Sciatica_Policy_v7.pdf"/>
      </x:ext>
    </extLst>
  </threadedComment>
  <threadedComment ref="AM124" dT="2025-06-26T23:00:52.84" personId="{95736710-EFA0-493C-AAE5-6E4C07E0F9AD}" id="{BF182CB3-7389-4096-8247-A1F4B5E0AF2C}">
    <text>Tick - Spinal fusion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471580558</xltc2:checksum>
        <xltc2:hyperlink startIndex="21" length="189" url="https://staffsstoke.icb.nhs.uk/your-nhs-integrated-care-board/our-publications/governance-handbook/all-policies/commissioning/icb-excluded-and-restricted-procedures-policy-v3-1/?layout=file"/>
      </x:ext>
    </extLst>
  </threadedComment>
  <threadedComment ref="AN124" dT="2025-06-28T10:03:51.54" personId="{95736710-EFA0-493C-AAE5-6E4C07E0F9AD}" id="{3937158A-7618-4D15-BB3E-DDC18B4A10F9}">
    <text>IFR “Spinal fusion for chronic low back pain should only be offered as part of a randomised controlled trial (NICE, 2016). ” https://suffolkandnortheastessex.icb.nhs.uk/about-us/our-policies/</text>
    <extLst>
      <x:ext xmlns:xltc2="http://schemas.microsoft.com/office/spreadsheetml/2020/threadedcomments2" uri="{F7C98A9C-CBB3-438F-8F68-D28B6AF4A901}">
        <xltc2:checksum>3669709932</xltc2:checksum>
        <xltc2:hyperlink startIndex="125" length="66" url="https://suffolkandnortheastessex.icb.nhs.uk/about-us/our-policies/"/>
      </x:ext>
    </extLst>
  </threadedComment>
  <threadedComment ref="E126" dT="2025-06-11T19:34:18.54" personId="{95736710-EFA0-493C-AAE5-6E4C07E0F9AD}" id="{F3A27804-8629-4932-8600-9586CC934569}">
    <text>No reference to asymptomatic? Therefore n/a? https://www.birminghamsolihull.icb.nhs.uk/application/files/1516/4872/4263/Cholecystectomy.pdf</text>
    <extLst>
      <x:ext xmlns:xltc2="http://schemas.microsoft.com/office/spreadsheetml/2020/threadedcomments2" uri="{F7C98A9C-CBB3-438F-8F68-D28B6AF4A901}">
        <xltc2:checksum>1756347433</xltc2:checksum>
        <xltc2:hyperlink startIndex="45" length="94" url="https://www.birminghamsolihull.icb.nhs.uk/application/files/1516/4872/4263/Cholecystectomy.pdf"/>
      </x:ext>
    </extLst>
  </threadedComment>
  <threadedComment ref="Q126" dT="2025-06-18T19:06:21.44" personId="{95736710-EFA0-493C-AAE5-6E4C07E0F9AD}" id="{357A8FF9-1254-4A55-B0DE-88267A8B505E}">
    <text>Unable to find ref</text>
  </threadedComment>
  <threadedComment ref="AC126" dT="2025-06-24T21:42:54.38" personId="{95736710-EFA0-493C-AAE5-6E4C07E0F9AD}" id="{38395C72-97CF-40C8-93D0-8576562057F0}">
    <text>Tick “NCL ICB will not routinely fund cholecystectomy for asymptomatic gallstones found in a normal gallbladder and normal biliary tree. An exception to this would be where the patient is asymptomatic NCL EBICS Policy V9.2 41 but also has diabetes, chroni ” https://nclhealthandcare.org.uk/wp-content/uploads/2024/02/NCL-EBICS-Policy-v9.2-2.pdf</text>
    <extLst>
      <x:ext xmlns:xltc2="http://schemas.microsoft.com/office/spreadsheetml/2020/threadedcomments2" uri="{F7C98A9C-CBB3-438F-8F68-D28B6AF4A901}">
        <xltc2:checksum>2879712932</xltc2:checksum>
        <xltc2:hyperlink startIndex="258" length="86" url="https://nclhealthandcare.org.uk/wp-content/uploads/2024/02/NCL-EBICS-Policy-v9.2-2.pdf"/>
      </x:ext>
    </extLst>
  </threadedComment>
  <threadedComment ref="AD126" dT="2025-06-27T20:04:44.59" personId="{95736710-EFA0-493C-AAE5-6E4C07E0F9AD}" id="{DCFDE000-F8D3-4624-A4D4-F883B74B265A}">
    <text>Says prior approval but written description appears IFR https://northeastnorthcumbria.nhs.uk/media/dimlerzs/value-based-clinical-commissioning-policy.pdf</text>
    <extLst>
      <x:ext xmlns:xltc2="http://schemas.microsoft.com/office/spreadsheetml/2020/threadedcomments2" uri="{F7C98A9C-CBB3-438F-8F68-D28B6AF4A901}">
        <xltc2:checksum>1603982514</xltc2:checksum>
        <xltc2:hyperlink startIndex="56" length="97" url="https://northeastnorthcumbria.nhs.uk/media/dimlerzs/value-based-clinical-commissioning-policy.pdf"/>
      </x:ext>
    </extLst>
  </threadedComment>
  <threadedComment ref="AJ126" dT="2025-06-27T23:15:05.51" personId="{95736710-EFA0-493C-AAE5-6E4C07E0F9AD}" id="{3DA28613-24E6-425D-ABFD-117A5DA25AAC}">
    <text>Criteria https://nhssomerset.nhs.uk/wp-content/uploads/sites/2/Laparoscopic-Cholecystectomy-Asymptomatic-Gall-Stones-Policy-CBA-2425.v2c-20240705.pdf</text>
    <extLst>
      <x:ext xmlns:xltc2="http://schemas.microsoft.com/office/spreadsheetml/2020/threadedcomments2" uri="{F7C98A9C-CBB3-438F-8F68-D28B6AF4A901}">
        <xltc2:checksum>1298496373</xltc2:checksum>
        <xltc2:hyperlink startIndex="9" length="140" url="https://nhssomerset.nhs.uk/wp-content/uploads/sites/2/Laparoscopic-Cholecystectomy-Asymptomatic-Gall-Stones-Policy-CBA-2425.v2c-20240705.pdf"/>
      </x:ext>
    </extLst>
  </threadedComment>
  <threadedComment ref="AK126" dT="2025-06-26T21:00:58.27" personId="{95736710-EFA0-493C-AAE5-6E4C07E0F9AD}" id="{43B7BC66-956C-4BEB-B278-0E8308FFAEA9}">
    <text>“Asymptomatic gallstones ” “No longer needing to be referenced in TAP ” “If a particular procedure/approach is not listed within local policies then it is not commissioned and not available. ”</text>
  </threadedComment>
  <threadedComment ref="F128" dT="2025-06-13T10:12:50.84" personId="{95736710-EFA0-493C-AAE5-6E4C07E0F9AD}" id="{219EA60C-354E-44E1-8ED7-BD4144A5EAC4}">
    <text xml:space="preserve">Surgical Intervention for Benign Prostatic Hyperplasia (BPH)
EBI https://blackcountry.icb.nhs.uk/have-your-say/get-involved/current-consultations-and-engagement/clinical-policy-review2 A condition where, as people with a prostate grow older, the prostate gland becomes larger. It can cause urinary symptoms, and in a small number of cases surgery maybe needed.
</text>
    <extLst>
      <x:ext xmlns:xltc2="http://schemas.microsoft.com/office/spreadsheetml/2020/threadedcomments2" uri="{F7C98A9C-CBB3-438F-8F68-D28B6AF4A901}">
        <xltc2:checksum>4091231328</xltc2:checksum>
        <xltc2:hyperlink startIndex="65" length="119" url="https://blackcountry.icb.nhs.uk/have-your-say/get-involved/current-consultations-and-engagement/clinical-policy-review2"/>
      </x:ext>
    </extLst>
  </threadedComment>
  <threadedComment ref="G128" dT="2025-06-17T13:46:47.35" personId="{95736710-EFA0-493C-AAE5-6E4C07E0F9AD}" id="{26F727C3-A89F-411A-87F9-A62AF65BAC00}">
    <text>Unable to find</text>
  </threadedComment>
  <threadedComment ref="J128" dT="2025-06-18T09:46:49.08" personId="{95736710-EFA0-493C-AAE5-6E4C07E0F9AD}" id="{ECAB82DF-C449-4EF4-BB27-58E6CD16C2C8}">
    <text>Should be a tick https://www.cheshireandmerseyside.nhs.uk/media/j2pfupcs/pol-clin107-benign-prostatic-hyperplasia-related-bladder-final-v03.pdf</text>
    <extLst>
      <x:ext xmlns:xltc2="http://schemas.microsoft.com/office/spreadsheetml/2020/threadedcomments2" uri="{F7C98A9C-CBB3-438F-8F68-D28B6AF4A901}">
        <xltc2:checksum>496140235</xltc2:checksum>
        <xltc2:hyperlink startIndex="17" length="126" url="https://www.cheshireandmerseyside.nhs.uk/media/j2pfupcs/pol-clin107-benign-prostatic-hyperplasia-related-bladder-final-v03.pdf"/>
      </x:ext>
    </extLst>
  </threadedComment>
  <threadedComment ref="T128" dT="2025-06-22T18:19:18.74" personId="{95736710-EFA0-493C-AAE5-6E4C07E0F9AD}" id="{E14C6FB7-0D9D-48FE-82C9-C869D3E801C7}">
    <text>Tick https://www.hwics.org.uk/application/files/8917/1949/3723/ICB_Benign_Prostatic_Hyperplasia_v1.3.pdf</text>
    <extLst>
      <x:ext xmlns:xltc2="http://schemas.microsoft.com/office/spreadsheetml/2020/threadedcomments2" uri="{F7C98A9C-CBB3-438F-8F68-D28B6AF4A901}">
        <xltc2:checksum>849170716</xltc2:checksum>
        <xltc2:hyperlink startIndex="5" length="99" url="https://www.hwics.org.uk/application/files/8917/1949/3723/ICB_Benign_Prostatic_Hyperplasia_v1.3.pdf"/>
      </x:ext>
    </extLst>
  </threadedComment>
  <threadedComment ref="AC128" dT="2025-06-24T21:43:59.67" personId="{95736710-EFA0-493C-AAE5-6E4C07E0F9AD}" id="{E0240E9A-758D-4068-AE77-D889A0F7B91F}">
    <text>Tick “Benign prostatic hyperplasia – Surgical intervention for ”</text>
  </threadedComment>
  <threadedComment ref="AM128" dT="2025-06-26T23:02:01.99" personId="{95736710-EFA0-493C-AAE5-6E4C07E0F9AD}" id="{1727B747-3FE5-4125-B5AD-ED90ABB839BD}">
    <text>Unable to find ref</text>
  </threadedComment>
  <threadedComment ref="AQ128" dT="2025-06-28T11:42:29.45" personId="{95736710-EFA0-493C-AAE5-6E4C07E0F9AD}" id="{470E88FB-8788-47CA-9CBB-E5F7BC53F7E1}">
    <text>Tick - “Bladder Outflow Obstruction (BOO) (surgical intervention) (11.2024) - This is an updated Evidence Based Interventions Policy. For details please see the Evidence Based Interventions guidance ” https://www.westyorkshire.icb.nhs.uk/documents/commissioning-policies</text>
    <extLst>
      <x:ext xmlns:xltc2="http://schemas.microsoft.com/office/spreadsheetml/2020/threadedcomments2" uri="{F7C98A9C-CBB3-438F-8F68-D28B6AF4A901}">
        <xltc2:checksum>3770241491</xltc2:checksum>
        <xltc2:hyperlink startIndex="161" length="37" url="https://ebi.aomrc.org.uk/interventions/turbt-single-post-instillation-of-mitomycin-c/"/>
        <xltc2:hyperlink startIndex="201" length="69" url="https://www.westyorkshire.icb.nhs.uk/documents/commissioning-policies"/>
      </x:ext>
    </extLst>
  </threadedComment>
  <threadedComment ref="E130" dT="2025-06-11T19:36:32.80" personId="{95736710-EFA0-493C-AAE5-6E4C07E0F9AD}" id="{4D0366DF-FE14-444F-A11E-AAF7EABB736B}">
    <text>Policy link not valid https://www.birminghamsolihull.icb.nhs.uk/health-information-and-advice/policies/ear-nose-and-throat</text>
    <extLst>
      <x:ext xmlns:xltc2="http://schemas.microsoft.com/office/spreadsheetml/2020/threadedcomments2" uri="{F7C98A9C-CBB3-438F-8F68-D28B6AF4A901}">
        <xltc2:checksum>883485562</xltc2:checksum>
        <xltc2:hyperlink startIndex="22" length="100" url="https://www.birminghamsolihull.icb.nhs.uk/health-information-and-advice/policies/ear-nose-and-throat"/>
      </x:ext>
    </extLst>
  </threadedComment>
  <threadedComment ref="G130" dT="2025-06-17T13:48:28.69" personId="{95736710-EFA0-493C-AAE5-6E4C07E0F9AD}" id="{FD2CAF34-3FF2-41EA-AD43-14CFC9FBBFB6}">
    <text xml:space="preserve">Unable to find
</text>
  </threadedComment>
  <threadedComment ref="T130" dT="2025-06-22T17:55:32.30" personId="{95736710-EFA0-493C-AAE5-6E4C07E0F9AD}" id="{77D660C6-0823-42D3-9E05-BDB666C78626}">
    <text>Part of adenoid treatment</text>
  </threadedComment>
  <threadedComment ref="T130" dT="2025-06-22T17:56:40.21" personId="{95736710-EFA0-493C-AAE5-6E4C07E0F9AD}" id="{A24527BC-B41C-4FB7-9039-19191AFA47CB}" parentId="{77D660C6-0823-42D3-9E05-BDB666C78626}">
    <text>Also separate policy tick https://www.hwics.org.uk/application/files/8116/9883/2258/ICB_Chronic_Rhinosinusitis_Position_Statement_v1.3.pdf</text>
    <extLst>
      <x:ext xmlns:xltc2="http://schemas.microsoft.com/office/spreadsheetml/2020/threadedcomments2" uri="{F7C98A9C-CBB3-438F-8F68-D28B6AF4A901}">
        <xltc2:checksum>4274812620</xltc2:checksum>
        <xltc2:hyperlink startIndex="26" length="112" url="https://www.hwics.org.uk/application/files/8116/9883/2258/ICB_Chronic_Rhinosinusitis_Position_Statement_v1.3.pdf"/>
      </x:ext>
    </extLst>
  </threadedComment>
  <threadedComment ref="U130" dT="2025-06-22T20:32:53.54" personId="{95736710-EFA0-493C-AAE5-6E4C07E0F9AD}" id="{7F0E37FB-E75C-45E2-A32D-DC593CBE615A}">
    <text>Part of rhinoplasty https://www.hweclinicalguidance.nhs.uk/all-clinical-areas-documents/search-results/nasal-surgery/</text>
    <extLst>
      <x:ext xmlns:xltc2="http://schemas.microsoft.com/office/spreadsheetml/2020/threadedcomments2" uri="{F7C98A9C-CBB3-438F-8F68-D28B6AF4A901}">
        <xltc2:checksum>836043700</xltc2:checksum>
        <xltc2:hyperlink startIndex="20" length="97" url="https://www.hweclinicalguidance.nhs.uk/all-clinical-areas-documents/search-results/nasal-surgery/"/>
      </x:ext>
    </extLst>
  </threadedComment>
  <threadedComment ref="V130" dT="2025-06-22T21:24:39.07" personId="{95736710-EFA0-493C-AAE5-6E4C07E0F9AD}" id="{77976EED-CEA6-4E0F-89ED-9CE14CDFF9CC}">
    <text>Tick https://humberandnorthyorkshire.icb.nhs.uk/wp-content/uploads/2025/04/093-Endoscopic-sinus-surgery-for-chronic-rhinosinusitis.docx</text>
    <extLst>
      <x:ext xmlns:xltc2="http://schemas.microsoft.com/office/spreadsheetml/2020/threadedcomments2" uri="{F7C98A9C-CBB3-438F-8F68-D28B6AF4A901}">
        <xltc2:checksum>4199612221</xltc2:checksum>
        <xltc2:hyperlink startIndex="5" length="130" url="https://humberandnorthyorkshire.icb.nhs.uk/wp-content/uploads/2025/04/093-Endoscopic-sinus-surgery-for-chronic-rhinosinusitis.docx"/>
      </x:ext>
    </extLst>
  </threadedComment>
  <threadedComment ref="J132" dT="2025-06-18T09:34:16.39" personId="{95736710-EFA0-493C-AAE5-6E4C07E0F9AD}" id="{4C889B68-99A8-4DD2-AA10-0DCF57DCE39C}">
    <text>Should be a tick https://www.cheshireandmerseyside.nhs.uk/media/f1cprjg2/pol-cmicb_clin095-vaginal-uterovaginal-prolapse-surgical-management-final-v03.pdf</text>
    <extLst>
      <x:ext xmlns:xltc2="http://schemas.microsoft.com/office/spreadsheetml/2020/threadedcomments2" uri="{F7C98A9C-CBB3-438F-8F68-D28B6AF4A901}">
        <xltc2:checksum>789417626</xltc2:checksum>
        <xltc2:hyperlink startIndex="17" length="137" url="https://www.cheshireandmerseyside.nhs.uk/media/f1cprjg2/pol-cmicb_clin095-vaginal-uterovaginal-prolapse-surgical-management-final-v03.pdf"/>
      </x:ext>
    </extLst>
  </threadedComment>
  <threadedComment ref="M132" dT="2025-06-18T13:35:23.97" personId="{95736710-EFA0-493C-AAE5-6E4C07E0F9AD}" id="{273D1BD4-A049-43B8-8B6D-9187DCFC61ED}">
    <text>IFR https://www.derbyshiremedicinesmanagement.nhs.uk/assets/Clinical-Policies/Clinical_Policies/PLCV/gynae_and_fertility/Vaginal_Synthetic_Mesh.pdf</text>
    <extLst>
      <x:ext xmlns:xltc2="http://schemas.microsoft.com/office/spreadsheetml/2020/threadedcomments2" uri="{F7C98A9C-CBB3-438F-8F68-D28B6AF4A901}">
        <xltc2:checksum>3698995314</xltc2:checksum>
        <xltc2:hyperlink startIndex="4" length="143" url="https://www.derbyshiremedicinesmanagement.nhs.uk/assets/Clinical-Policies/Clinical_Policies/PLCV/gynae_and_fertility/Vaginal_Synthetic_Mesh.pdf"/>
      </x:ext>
    </extLst>
  </threadedComment>
  <threadedComment ref="Q132" dT="2025-06-18T16:57:15.64" personId="{95736710-EFA0-493C-AAE5-6E4C07E0F9AD}" id="{FD72D3CC-7EB4-4BE1-BD5E-3738F5B301B4}">
    <text>Cannot find</text>
  </threadedComment>
  <threadedComment ref="G133" dT="2025-06-17T13:52:20.33" personId="{95736710-EFA0-493C-AAE5-6E4C07E0F9AD}" id="{74553C42-45EB-4F0E-B3E5-057F685D423A}">
    <text>Only ref is this but seems they do fund but unclear what criteria is https://bnssghealthiertogether.org.uk/library/foi-icb-2324-211-grommet-waiting-lists-and-surgeries/</text>
    <extLst>
      <x:ext xmlns:xltc2="http://schemas.microsoft.com/office/spreadsheetml/2020/threadedcomments2" uri="{F7C98A9C-CBB3-438F-8F68-D28B6AF4A901}">
        <xltc2:checksum>1429260082</xltc2:checksum>
        <xltc2:hyperlink startIndex="69" length="99" url="https://bnssghealthiertogether.org.uk/library/foi-icb-2324-211-grommet-waiting-lists-and-surgeries/"/>
      </x:ext>
    </extLst>
  </threadedComment>
  <threadedComment ref="Q133" dT="2025-06-18T16:57:15.64" personId="{95736710-EFA0-493C-AAE5-6E4C07E0F9AD}" id="{5C8D9BCB-BD8B-4E62-B94A-81EB7AF5C04C}">
    <text>Cannot find</text>
  </threadedComment>
  <threadedComment ref="V133" dT="2025-06-22T21:29:23.66" personId="{95736710-EFA0-493C-AAE5-6E4C07E0F9AD}" id="{C66AC12A-E7A8-4C69-8374-FF5CA7038FD4}">
    <text>Tick https://humberandnorthyorkshire.icb.nhs.uk/wp-content/uploads/2025/04/088-Grommets-for-glue-ear-in-children.docx</text>
    <extLst>
      <x:ext xmlns:xltc2="http://schemas.microsoft.com/office/spreadsheetml/2020/threadedcomments2" uri="{F7C98A9C-CBB3-438F-8F68-D28B6AF4A901}">
        <xltc2:checksum>806423924</xltc2:checksum>
        <xltc2:hyperlink startIndex="5" length="112" url="https://humberandnorthyorkshire.icb.nhs.uk/wp-content/uploads/2025/04/088-Grommets-for-glue-ear-in-children.docx"/>
      </x:ext>
    </extLst>
  </threadedComment>
  <threadedComment ref="AJ133" dT="2025-06-27T23:08:06.62" personId="{95736710-EFA0-493C-AAE5-6E4C07E0F9AD}" id="{1ED65F6B-D917-4A7A-9C2D-35A6A546CB41}">
    <text>Tick https://nhssomerset.nhs.uk/wp-content/uploads/sites/2/Grommet-Insertion-in-Adults-with-Otitis-Media-with-Effusion-OME-CBA-2425.v5-20250529.pdf</text>
    <extLst>
      <x:ext xmlns:xltc2="http://schemas.microsoft.com/office/spreadsheetml/2020/threadedcomments2" uri="{F7C98A9C-CBB3-438F-8F68-D28B6AF4A901}">
        <xltc2:checksum>1656099913</xltc2:checksum>
        <xltc2:hyperlink startIndex="5" length="142" url="https://nhssomerset.nhs.uk/wp-content/uploads/sites/2/Grommet-Insertion-in-Adults-with-Otitis-Media-with-Effusion-OME-CBA-2425.v5-20250529.pdf"/>
      </x:ext>
    </extLst>
  </threadedComment>
  <threadedComment ref="G134" dT="2025-06-17T13:51:58.21" personId="{95736710-EFA0-493C-AAE5-6E4C07E0F9AD}" id="{392B4A0B-4C36-4062-8CBA-261FCEE5961E}">
    <text>Only ref is this but not child specific https://bnssghealthiertogether.org.uk/library/foi-icb-2324-211-grommet-waiting-lists-and-surgeries/</text>
    <extLst>
      <x:ext xmlns:xltc2="http://schemas.microsoft.com/office/spreadsheetml/2020/threadedcomments2" uri="{F7C98A9C-CBB3-438F-8F68-D28B6AF4A901}">
        <xltc2:checksum>675432117</xltc2:checksum>
        <xltc2:hyperlink startIndex="40" length="99" url="https://bnssghealthiertogether.org.uk/library/foi-icb-2324-211-grommet-waiting-lists-and-surgeries/"/>
      </x:ext>
    </extLst>
  </threadedComment>
  <threadedComment ref="V134" dT="2025-06-22T21:29:32.74" personId="{95736710-EFA0-493C-AAE5-6E4C07E0F9AD}" id="{ECE7738A-8F89-45F7-B777-2FD8408B0222}">
    <text>Tick https://humberandnorthyorkshire.icb.nhs.uk/wp-content/uploads/2025/04/088-Grommets-for-glue-ear-in-children.docx</text>
    <extLst>
      <x:ext xmlns:xltc2="http://schemas.microsoft.com/office/spreadsheetml/2020/threadedcomments2" uri="{F7C98A9C-CBB3-438F-8F68-D28B6AF4A901}">
        <xltc2:checksum>806423924</xltc2:checksum>
        <xltc2:hyperlink startIndex="5" length="112" url="https://humberandnorthyorkshire.icb.nhs.uk/wp-content/uploads/2025/04/088-Grommets-for-glue-ear-in-children.docx"/>
      </x:ext>
    </extLst>
  </threadedComment>
  <threadedComment ref="F136" dT="2025-06-13T10:16:44.79" personId="{95736710-EFA0-493C-AAE5-6E4C07E0F9AD}" id="{5BBBEB6B-BDFB-46F9-BA43-369216C66169}">
    <text>Surgical removal of kidney stones
Kidney stones are products of waste in the blood that can occasionally form crystals, over time the crystals may build up to form a hard stone-like lump. https://blackcountry.icb.nhs.uk/have-your-say/get-involved/current-consultations-and-engagement/clinical-policy-review2</text>
    <extLst>
      <x:ext xmlns:xltc2="http://schemas.microsoft.com/office/spreadsheetml/2020/threadedcomments2" uri="{F7C98A9C-CBB3-438F-8F68-D28B6AF4A901}">
        <xltc2:checksum>2913076844</xltc2:checksum>
        <xltc2:hyperlink startIndex="188" length="119" url="https://blackcountry.icb.nhs.uk/have-your-say/get-involved/current-consultations-and-engagement/clinical-policy-review2"/>
      </x:ext>
    </extLst>
  </threadedComment>
  <threadedComment ref="M136" dT="2025-06-18T13:36:44.13" personId="{95736710-EFA0-493C-AAE5-6E4C07E0F9AD}" id="{E4416F47-17BA-4966-9759-6EC8F3B360B0}">
    <text>Criteria  based https://www.derbyshiremedicinesmanagement.nhs.uk/assets/Clinical-Policies/Clinical_Policies/PLCV/urology/Surgical_Removal_of_Kidney_Stones%20.pdf</text>
    <extLst>
      <x:ext xmlns:xltc2="http://schemas.microsoft.com/office/spreadsheetml/2020/threadedcomments2" uri="{F7C98A9C-CBB3-438F-8F68-D28B6AF4A901}">
        <xltc2:checksum>982013140</xltc2:checksum>
        <xltc2:hyperlink startIndex="16" length="145" url="https://www.derbyshiremedicinesmanagement.nhs.uk/assets/Clinical-Policies/Clinical_Policies/PLCV/urology/Surgical_Removal_of_Kidney_Stones%20.pdf"/>
      </x:ext>
    </extLst>
  </threadedComment>
  <threadedComment ref="T136" dT="2025-06-22T18:23:19.07" personId="{95736710-EFA0-493C-AAE5-6E4C07E0F9AD}" id="{EC050DB8-54A4-441D-9596-9D67C6F8C0E7}">
    <text>Tick https://www.hwics.org.uk/application/files/2217/4592/3182/ICB_Kidney_Stones_Commissioning_Policy_v1.3.pdf</text>
    <extLst>
      <x:ext xmlns:xltc2="http://schemas.microsoft.com/office/spreadsheetml/2020/threadedcomments2" uri="{F7C98A9C-CBB3-438F-8F68-D28B6AF4A901}">
        <xltc2:checksum>294596110</xltc2:checksum>
        <xltc2:hyperlink startIndex="5" length="105" url="https://www.hwics.org.uk/application/files/2217/4592/3182/ICB_Kidney_Stones_Commissioning_Policy_v1.3.pdf"/>
      </x:ext>
    </extLst>
  </threadedComment>
  <threadedComment ref="V136" dT="2025-06-22T21:55:31.40" personId="{95736710-EFA0-493C-AAE5-6E4C07E0F9AD}" id="{86F42E58-22B5-408D-8CE0-E785B9C0A3DD}">
    <text>Policy under review https://humberandnorthyorkshire.icb.nhs.uk/documents-and-publications/commissioning-policies-2/</text>
    <extLst>
      <x:ext xmlns:xltc2="http://schemas.microsoft.com/office/spreadsheetml/2020/threadedcomments2" uri="{F7C98A9C-CBB3-438F-8F68-D28B6AF4A901}">
        <xltc2:checksum>4209297925</xltc2:checksum>
        <xltc2:hyperlink startIndex="20" length="95" url="https://humberandnorthyorkshire.icb.nhs.uk/documents-and-publications/commissioning-policies-2/"/>
      </x:ext>
    </extLst>
  </threadedComment>
  <threadedComment ref="Z136" dT="2025-06-24T08:48:06.78" personId="{95736710-EFA0-493C-AAE5-6E4C07E0F9AD}" id="{68D40352-8FB9-4B97-8949-C099A729B708}">
    <text>Unable to find ref</text>
  </threadedComment>
  <threadedComment ref="AH136" dT="2025-06-26T19:43:58.71" personId="{95736710-EFA0-493C-AAE5-6E4C07E0F9AD}" id="{D12F29F2-9337-4CAE-A434-A213C129FA08}">
    <text>Tick https://notts.icb.nhs.uk/wp-content/uploads/sites/2/2022/04/Value-Based-Commissioning-PolicyV1.4-2.pdf</text>
    <extLst>
      <x:ext xmlns:xltc2="http://schemas.microsoft.com/office/spreadsheetml/2020/threadedcomments2" uri="{F7C98A9C-CBB3-438F-8F68-D28B6AF4A901}">
        <xltc2:checksum>2188984600</xltc2:checksum>
        <xltc2:hyperlink startIndex="5" length="102" url="https://notts.icb.nhs.uk/wp-content/uploads/sites/2/2022/04/Value-Based-Commissioning-PolicyV1.4-2.pdf"/>
      </x:ext>
    </extLst>
  </threadedComment>
  <threadedComment ref="G137" dT="2025-06-13T11:09:19.93" personId="{95736710-EFA0-493C-AAE5-6E4C07E0F9AD}" id="{76D910FF-AA98-4153-96B8-56BABA61F191}">
    <text>https://bnssghealthiertogether.org.uk/wp-content/uploads/2017/05/Forefoot-Surgery-in-Secondary-Care-BNSSG-3-24-25-1.pdf Tick - criteria based access</text>
    <extLst>
      <x:ext xmlns:xltc2="http://schemas.microsoft.com/office/spreadsheetml/2020/threadedcomments2" uri="{F7C98A9C-CBB3-438F-8F68-D28B6AF4A901}">
        <xltc2:checksum>73267601</xltc2:checksum>
        <xltc2:hyperlink startIndex="0" length="119" url="https://bnssghealthiertogether.org.uk/wp-content/uploads/2017/05/Forefoot-Surgery-in-Secondary-Care-BNSSG-3-24-25-1.pdf"/>
      </x:ext>
    </extLst>
  </threadedComment>
  <threadedComment ref="Q137" dT="2025-06-18T17:10:21.25" personId="{95736710-EFA0-493C-AAE5-6E4C07E0F9AD}" id="{8196E2C8-3412-4759-82A0-16E74D33EFD2}">
    <text>Criteria based https://www.nhsglos.nhs.uk/wp-content/uploads/2024/02/Surgical-Foot-Procedures.pdf</text>
    <extLst>
      <x:ext xmlns:xltc2="http://schemas.microsoft.com/office/spreadsheetml/2020/threadedcomments2" uri="{F7C98A9C-CBB3-438F-8F68-D28B6AF4A901}">
        <xltc2:checksum>4101862292</xltc2:checksum>
        <xltc2:hyperlink startIndex="15" length="82" url="https://www.nhsglos.nhs.uk/wp-content/uploads/2024/02/Surgical-Foot-Procedures.pdf"/>
      </x:ext>
    </extLst>
  </threadedComment>
  <threadedComment ref="AM137" dT="2025-06-26T23:04:05.43" personId="{95736710-EFA0-493C-AAE5-6E4C07E0F9AD}" id="{20B6BF1D-A749-4FFC-9AC8-5DEE108515D6}">
    <text>Tick “Common Foot and Ankle Procedures”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891857504</xltc2:checksum>
        <xltc2:hyperlink startIndex="40" length="189" url="https://staffsstoke.icb.nhs.uk/your-nhs-integrated-care-board/our-publications/governance-handbook/all-policies/commissioning/icb-excluded-and-restricted-procedures-policy-v3-1/?layout=file"/>
      </x:ext>
    </extLst>
  </threadedComment>
  <threadedComment ref="D138" dT="2025-06-11T15:06:51.62" personId="{95736710-EFA0-493C-AAE5-6E4C07E0F9AD}" id="{07E22EFE-DF9C-4A13-A50C-2D307A381CCD}">
    <text>Cannot find in policy</text>
  </threadedComment>
  <threadedComment ref="J138" dT="2025-06-18T09:30:26.78" personId="{95736710-EFA0-493C-AAE5-6E4C07E0F9AD}" id="{C6B01F0B-F06B-473A-8836-62FEFCCD58C9}">
    <text>Should be a tick https://www.cheshireandmerseyside.nhs.uk/media/2tehrrz2/pol-clin074-sleepapnoeanarc-v1-final.pdf</text>
    <extLst>
      <x:ext xmlns:xltc2="http://schemas.microsoft.com/office/spreadsheetml/2020/threadedcomments2" uri="{F7C98A9C-CBB3-438F-8F68-D28B6AF4A901}">
        <xltc2:checksum>2048066637</xltc2:checksum>
        <xltc2:hyperlink startIndex="17" length="96" url="https://www.cheshireandmerseyside.nhs.uk/media/2tehrrz2/pol-clin074-sleepapnoeanarc-v1-final.pdf"/>
      </x:ext>
    </extLst>
  </threadedComment>
  <threadedComment ref="Q138" dT="2025-06-18T16:57:15.64" personId="{95736710-EFA0-493C-AAE5-6E4C07E0F9AD}" id="{F175AC51-A676-4298-AF17-E0A53FCD0AD8}">
    <text>Cannot find</text>
  </threadedComment>
  <threadedComment ref="X138" dT="2025-06-27T09:01:55.99" personId="{95736710-EFA0-493C-AAE5-6E4C07E0F9AD}" id="{EC089CBB-2B16-405B-95D1-3C03714A1830}">
    <text>Indication for tonsilectomy https://www.healthierlsc.co.uk/application/files/2916/7576/5524/LSCICB_Clin19_Policy_for_Tonsillectomy_Adeno-Tonsillectomy_v2.1.pdf</text>
    <extLst>
      <x:ext xmlns:xltc2="http://schemas.microsoft.com/office/spreadsheetml/2020/threadedcomments2" uri="{F7C98A9C-CBB3-438F-8F68-D28B6AF4A901}">
        <xltc2:checksum>3803073333</xltc2:checksum>
        <xltc2:hyperlink startIndex="28" length="131" url="https://www.healthierlsc.co.uk/application/files/2916/7576/5524/LSCICB_Clin19_Policy_for_Tonsillectomy_Adeno-Tonsillectomy_v2.1.pdf"/>
      </x:ext>
    </extLst>
  </threadedComment>
  <threadedComment ref="AH140" dT="2025-06-26T19:44:57.13" personId="{95736710-EFA0-493C-AAE5-6E4C07E0F9AD}" id="{CA7929CA-763C-4F20-8D4E-09057B68FF1D}">
    <text>Biological mesh indication https://notts.icb.nhs.uk/wp-content/uploads/sites/2/2022/04/Value-Based-Commissioning-PolicyV1.4-2.pdf</text>
    <extLst>
      <x:ext xmlns:xltc2="http://schemas.microsoft.com/office/spreadsheetml/2020/threadedcomments2" uri="{F7C98A9C-CBB3-438F-8F68-D28B6AF4A901}">
        <xltc2:checksum>978558931</xltc2:checksum>
        <xltc2:hyperlink startIndex="27" length="102" url="https://notts.icb.nhs.uk/wp-content/uploads/sites/2/2022/04/Value-Based-Commissioning-PolicyV1.4-2.pdf"/>
      </x:ext>
    </extLst>
  </threadedComment>
  <threadedComment ref="F142" dT="2025-06-13T10:25:30.55" personId="{95736710-EFA0-493C-AAE5-6E4C07E0F9AD}" id="{6A064149-0FEA-4D5B-A7EF-5B347534E9D2}">
    <text>Rosacea policy https://blackcountryics.org.uk/application/files/2317/1820/8172/BCICB_POLICY_Rosacea.pdf</text>
    <extLst>
      <x:ext xmlns:xltc2="http://schemas.microsoft.com/office/spreadsheetml/2020/threadedcomments2" uri="{F7C98A9C-CBB3-438F-8F68-D28B6AF4A901}">
        <xltc2:checksum>2064399176</xltc2:checksum>
        <xltc2:hyperlink startIndex="15" length="88" url="https://blackcountryics.org.uk/application/files/2317/1820/8172/BCICB_POLICY_Rosacea.pdf"/>
      </x:ext>
    </extLst>
  </threadedComment>
  <threadedComment ref="M142" dT="2025-06-18T13:38:27.12" personId="{95736710-EFA0-493C-AAE5-6E4C07E0F9AD}" id="{52FFAF13-9DEA-46DB-803B-EAC95343DBA5}">
    <text>IFR https://www.derbyshiremedicinesmanagement.nhs.uk/assets/Clinical-Policies/Clinical_Policies/Cosmetic/cosmetic/Not_Routinely_Commissioned_Cosmetic_Procedures.pdf</text>
    <extLst>
      <x:ext xmlns:xltc2="http://schemas.microsoft.com/office/spreadsheetml/2020/threadedcomments2" uri="{F7C98A9C-CBB3-438F-8F68-D28B6AF4A901}">
        <xltc2:checksum>3432794100</xltc2:checksum>
        <xltc2:hyperlink startIndex="4" length="160" url="https://www.derbyshiremedicinesmanagement.nhs.uk/assets/Clinical-Policies/Clinical_Policies/Cosmetic/cosmetic/Not_Routinely_Commissioned_Cosmetic_Procedures.pdf"/>
      </x:ext>
    </extLst>
  </threadedComment>
  <threadedComment ref="O142" dT="2025-06-18T15:03:23.46" personId="{95736710-EFA0-493C-AAE5-6E4C07E0F9AD}" id="{56F6997A-08FC-4735-8A12-A464E27BA3A7}">
    <text>Prior approval https://nhsdorset.nhs.uk/wp-content/uploads/2022/11/Cosmetic-Treatments-EBI.pdf</text>
    <extLst>
      <x:ext xmlns:xltc2="http://schemas.microsoft.com/office/spreadsheetml/2020/threadedcomments2" uri="{F7C98A9C-CBB3-438F-8F68-D28B6AF4A901}">
        <xltc2:checksum>1413624629</xltc2:checksum>
        <xltc2:hyperlink startIndex="15" length="79" url="https://nhsdorset.nhs.uk/wp-content/uploads/2022/11/Cosmetic-Treatments-EBI.pdf"/>
      </x:ext>
    </extLst>
  </threadedComment>
  <threadedComment ref="P142" dT="2025-06-18T16:11:32.72" personId="{95736710-EFA0-493C-AAE5-6E4C07E0F9AD}" id="{48D480A3-9594-4ABE-8EBF-8ADE8EA15E83}">
    <text>https://fundingrequests.scwcsu.nhs.uk/wp-content/uploads/2024/12/BOBFPC16-Aesthetic-treatments-for-adults-and-children-v2.0.pdf IFR</text>
    <extLst>
      <x:ext xmlns:xltc2="http://schemas.microsoft.com/office/spreadsheetml/2020/threadedcomments2" uri="{F7C98A9C-CBB3-438F-8F68-D28B6AF4A901}">
        <xltc2:checksum>1009614348</xltc2:checksum>
        <xltc2:hyperlink startIndex="0" length="127" url="https://fundingrequests.scwcsu.nhs.uk/wp-content/uploads/2024/12/BOBFPC16-Aesthetic-treatments-for-adults-and-children-v2.0.pdf"/>
      </x:ext>
    </extLst>
  </threadedComment>
  <threadedComment ref="Q142" dT="2025-06-18T16:54:07.28" personId="{95736710-EFA0-493C-AAE5-6E4C07E0F9AD}" id="{B6721CE8-FE59-4C3F-810E-1182FFC3A074}">
    <text>IFR https://www.nhsglos.nhs.uk/wp-content/uploads/2023/07/Facial-Procedures.pdf</text>
    <extLst>
      <x:ext xmlns:xltc2="http://schemas.microsoft.com/office/spreadsheetml/2020/threadedcomments2" uri="{F7C98A9C-CBB3-438F-8F68-D28B6AF4A901}">
        <xltc2:checksum>2466487764</xltc2:checksum>
        <xltc2:hyperlink startIndex="4" length="75" url="https://www.nhsglos.nhs.uk/wp-content/uploads/2023/07/Facial-Procedures.pdf"/>
      </x:ext>
    </extLst>
  </threadedComment>
  <threadedComment ref="R142" dT="2025-06-18T21:27:56.49" personId="{95736710-EFA0-493C-AAE5-6E4C07E0F9AD}" id="{AB918EA6-5911-44EB-8F6B-C38DD7C88CF9}">
    <text>Criteria https://nhsgmgmicbsa.blob.core.windows.net/nhsgmgmicbblobstorage/GMEUR/Commissioning%20Statements/GM%20Other%20Aesthetic%20Surgery%20Commissioning%20Statement.pdf</text>
    <extLst>
      <x:ext xmlns:xltc2="http://schemas.microsoft.com/office/spreadsheetml/2020/threadedcomments2" uri="{F7C98A9C-CBB3-438F-8F68-D28B6AF4A901}">
        <xltc2:checksum>1221844337</xltc2:checksum>
        <xltc2:hyperlink startIndex="9" length="162" url="https://nhsgmgmicbsa.blob.core.windows.net/nhsgmgmicbblobstorage/GMEUR/Commissioning%20Statements/GM%20Other%20Aesthetic%20Surgery%20Commissioning%20Statement.pdf"/>
      </x:ext>
    </extLst>
  </threadedComment>
  <threadedComment ref="S142" dT="2025-06-18T22:00:24.04" personId="{95736710-EFA0-493C-AAE5-6E4C07E0F9AD}" id="{86DC7FCB-62CF-4869-A9E0-4DD07417E816}">
    <text>https://fundingrequests.scwcsu.nhs.uk/wp-content/uploads/2023/04/Policy-72-Cosmetic-interventions-for-adults-and-children-v1.1.pdf IFR</text>
    <extLst>
      <x:ext xmlns:xltc2="http://schemas.microsoft.com/office/spreadsheetml/2020/threadedcomments2" uri="{F7C98A9C-CBB3-438F-8F68-D28B6AF4A901}">
        <xltc2:checksum>3891252256</xltc2:checksum>
        <xltc2:hyperlink startIndex="0" length="130" url="https://fundingrequests.scwcsu.nhs.uk/wp-content/uploads/2023/04/Policy-72-Cosmetic-interventions-for-adults-and-children-v1.1.pdf"/>
      </x:ext>
    </extLst>
  </threadedComment>
  <threadedComment ref="T142" dT="2025-06-22T18:37:27.43" personId="{95736710-EFA0-493C-AAE5-6E4C07E0F9AD}" id="{5CA0D6E4-29E0-4753-BD09-CF97505CC39B}">
    <text>IFR https://www.hwics.org.uk/application/files/9617/0186/0193/ICB_Aesthetic_Treatment__Surgery_v1.4_Final.pdf</text>
    <extLst>
      <x:ext xmlns:xltc2="http://schemas.microsoft.com/office/spreadsheetml/2020/threadedcomments2" uri="{F7C98A9C-CBB3-438F-8F68-D28B6AF4A901}">
        <xltc2:checksum>2830242033</xltc2:checksum>
        <xltc2:hyperlink startIndex="4" length="105" url="https://www.hwics.org.uk/application/files/9617/0186/0193/ICB_Aesthetic_Treatment__Surgery_v1.4_Final.pdf"/>
      </x:ext>
    </extLst>
  </threadedComment>
  <threadedComment ref="U142" dT="2025-06-22T20:37:01.87" personId="{95736710-EFA0-493C-AAE5-6E4C07E0F9AD}" id="{0A387364-C0FF-4912-B54D-1B3432DE7C8B}">
    <text>IFR https://www.hweclinicalguidance.nhs.uk/all-clinical-areas-documents/search-results/cosmetic-procedures/</text>
    <extLst>
      <x:ext xmlns:xltc2="http://schemas.microsoft.com/office/spreadsheetml/2020/threadedcomments2" uri="{F7C98A9C-CBB3-438F-8F68-D28B6AF4A901}">
        <xltc2:checksum>1992060571</xltc2:checksum>
        <xltc2:hyperlink startIndex="4" length="103" url="https://www.hweclinicalguidance.nhs.uk/all-clinical-areas-documents/search-results/cosmetic-procedures/"/>
      </x:ext>
    </extLst>
  </threadedComment>
  <threadedComment ref="AF142" dT="2025-06-27T21:27:46.30" personId="{95736710-EFA0-493C-AAE5-6E4C07E0F9AD}" id="{F4C9FCB4-AE61-4D26-A8B2-1CE62C15F16B}">
    <text>IFR https://www.nwlondonicb.nhs.uk/application/files/6916/7664/3307/Cosmetic_Treatment_Policy_v7.pdf</text>
    <extLst>
      <x:ext xmlns:xltc2="http://schemas.microsoft.com/office/spreadsheetml/2020/threadedcomments2" uri="{F7C98A9C-CBB3-438F-8F68-D28B6AF4A901}">
        <xltc2:checksum>942731614</xltc2:checksum>
        <xltc2:hyperlink startIndex="4" length="96" url="https://www.nwlondonicb.nhs.uk/application/files/6916/7664/3307/Cosmetic_Treatment_Policy_v7.pdf"/>
      </x:ext>
    </extLst>
  </threadedComment>
  <threadedComment ref="AG142" dT="2025-06-27T22:14:22.22" personId="{95736710-EFA0-493C-AAE5-6E4C07E0F9AD}" id="{83D10367-5152-412E-AEF9-A83A171A651A}">
    <text>IFR https://www.icnorthamptonshire.org.uk/download.cfm?doc=docm93jijm4n19772&amp;ver=65843</text>
    <extLst>
      <x:ext xmlns:xltc2="http://schemas.microsoft.com/office/spreadsheetml/2020/threadedcomments2" uri="{F7C98A9C-CBB3-438F-8F68-D28B6AF4A901}">
        <xltc2:checksum>3494980102</xltc2:checksum>
        <xltc2:hyperlink startIndex="4" length="82" url="https://www.icnorthamptonshire.org.uk/download.cfm?doc=docm93jijm4n19772&amp;ver=65843"/>
      </x:ext>
    </extLst>
  </threadedComment>
  <threadedComment ref="AM142" dT="2025-06-26T23:05:34.41" personId="{95736710-EFA0-493C-AAE5-6E4C07E0F9AD}" id="{DE56893D-E8B3-4CE5-9967-D6BAAFB7C4F5}">
    <text>Tick - Severe cases of rhinophyma may be considered when there is evidence of severe nasal airway obstruction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2125915162</xltc2:checksum>
        <xltc2:hyperlink startIndex="110" length="189" url="https://staffsstoke.icb.nhs.uk/your-nhs-integrated-care-board/our-publications/governance-handbook/all-policies/commissioning/icb-excluded-and-restricted-procedures-policy-v3-1/?layout=file"/>
      </x:ext>
    </extLst>
  </threadedComment>
  <threadedComment ref="AQ142" dT="2025-06-28T12:16:53.29" personId="{95736710-EFA0-493C-AAE5-6E4C07E0F9AD}" id="{1BA16C64-D5E2-403B-A2F3-6CC56A0EA73F}">
    <text>Some criteria? “Patients who have regular, well documented episodes of eruptions of foul smelling discharge and or bleeding with a Dermatology Life Quality Index of &gt;10 do not need to seek prior approval for treatment. ” https://www.wypartnership.co.uk/application/files/9516/8907/1293/Nose_swelling_-_rhinophyma_05.2022.pdf</text>
    <extLst>
      <x:ext xmlns:xltc2="http://schemas.microsoft.com/office/spreadsheetml/2020/threadedcomments2" uri="{F7C98A9C-CBB3-438F-8F68-D28B6AF4A901}">
        <xltc2:checksum>3711560328</xltc2:checksum>
        <xltc2:hyperlink startIndex="221" length="103" url="https://www.wypartnership.co.uk/application/files/9516/8907/1293/Nose_swelling_-_rhinophyma_05.2022.pdf"/>
      </x:ext>
    </extLst>
  </threadedComment>
  <threadedComment ref="T143" dT="2025-06-22T19:25:36.83" personId="{95736710-EFA0-493C-AAE5-6E4C07E0F9AD}" id="{CD3FF768-AF8C-4F0B-9C50-16C5182BE02E}">
    <text>Unable to find ref</text>
  </threadedComment>
  <threadedComment ref="K145" dT="2025-06-18T11:18:22.77" personId="{95736710-EFA0-493C-AAE5-6E4C07E0F9AD}" id="{F88D39B3-4A32-4143-8566-0303ED7BC042}">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L145" dT="2025-06-18T11:50:57.90" personId="{95736710-EFA0-493C-AAE5-6E4C07E0F9AD}" id="{B71CD4FC-AC41-4131-B98E-77682120AD00}">
    <text>https://www.happyhealthylives.uk/clientfiles/files/document_library/Hysterectomy%20for%20Menorrhagia%20Policy.pdf tick</text>
    <extLst>
      <x:ext xmlns:xltc2="http://schemas.microsoft.com/office/spreadsheetml/2020/threadedcomments2" uri="{F7C98A9C-CBB3-438F-8F68-D28B6AF4A901}">
        <xltc2:checksum>2396660197</xltc2:checksum>
        <xltc2:hyperlink startIndex="0" length="113" url="https://www.happyhealthylives.uk/clientfiles/files/document_library/Hysterectomy%20for%20Menorrhagia%20Policy.pdf"/>
      </x:ext>
    </extLst>
  </threadedComment>
  <threadedComment ref="N145" dT="2025-06-18T14:11:43.26" personId="{95736710-EFA0-493C-AAE5-6E4C07E0F9AD}" id="{B83F4F56-0D6A-4866-9A07-B6AA8877F707}">
    <text xml:space="preserve">Fibroids mentioned in policy therefore tick? Referral for the surgical management of heavy menstrual bleeding
</text>
    <extLst>
      <x:ext xmlns:xltc2="http://schemas.microsoft.com/office/spreadsheetml/2020/threadedcomments2" uri="{F7C98A9C-CBB3-438F-8F68-D28B6AF4A901}">
        <xltc2:checksum>2243148573</xltc2:checksum>
        <xltc2:hyperlink startIndex="45" length="64" url="https://onedevon.org.uk/download/surgical-management-of-heavy-menstrual-bleeding/?wpdmdl=2068&amp;refresh=6852c8e1e04af1750255841"/>
      </x:ext>
    </extLst>
  </threadedComment>
  <threadedComment ref="P145" dT="2025-06-18T16:12:24.40" personId="{95736710-EFA0-493C-AAE5-6E4C07E0F9AD}" id="{DF862D74-F117-4CCA-A9B7-D6FEDE6F4AB7}">
    <text>https://fundingrequests.scwcsu.nhs.uk/wp-content/uploads/2024/04/BOBFPC-058-Hysterectomy-v2.0.pdf Fibroids part of indications</text>
    <extLst>
      <x:ext xmlns:xltc2="http://schemas.microsoft.com/office/spreadsheetml/2020/threadedcomments2" uri="{F7C98A9C-CBB3-438F-8F68-D28B6AF4A901}">
        <xltc2:checksum>167676748</xltc2:checksum>
        <xltc2:hyperlink startIndex="0" length="97" url="https://fundingrequests.scwcsu.nhs.uk/wp-content/uploads/2024/04/BOBFPC-058-Hysterectomy-v2.0.pdf"/>
      </x:ext>
    </extLst>
  </threadedComment>
  <threadedComment ref="Q145" dT="2025-06-18T16:57:15.64" personId="{95736710-EFA0-493C-AAE5-6E4C07E0F9AD}" id="{CAA10AB6-37EC-41AE-87F9-86CECA842A40}">
    <text>Cannot find</text>
  </threadedComment>
  <threadedComment ref="T145" dT="2025-06-22T18:22:38.74" personId="{95736710-EFA0-493C-AAE5-6E4C07E0F9AD}" id="{C4B71100-AFC6-4FD8-94B2-09B33843EC76}">
    <text>?EBI laparoscopic laser myomectomy https://www.hwics.org.uk/application/files/4417/3210/9783/ICB_Hysterectomy_for_HMB_Commissioning_Policy_V2.1_final.pdf</text>
    <extLst>
      <x:ext xmlns:xltc2="http://schemas.microsoft.com/office/spreadsheetml/2020/threadedcomments2" uri="{F7C98A9C-CBB3-438F-8F68-D28B6AF4A901}">
        <xltc2:checksum>2105052938</xltc2:checksum>
        <xltc2:hyperlink startIndex="35" length="118" url="https://www.hwics.org.uk/application/files/4417/3210/9783/ICB_Hysterectomy_for_HMB_Commissioning_Policy_V2.1_final.pdf"/>
      </x:ext>
    </extLst>
  </threadedComment>
  <threadedComment ref="X145" dT="2025-06-27T09:10:50.75" personId="{95736710-EFA0-493C-AAE5-6E4C07E0F9AD}" id="{A0F34E5A-0569-4737-8B50-6B932D4DAC9B}">
    <text>?tick under hysteroscopy - https://www.healthierlsc.co.uk/application/files/7116/8487/3598/LSCICB_Clin41_Policy_for_Hysteroscopy_v2.1.pdf</text>
    <extLst>
      <x:ext xmlns:xltc2="http://schemas.microsoft.com/office/spreadsheetml/2020/threadedcomments2" uri="{F7C98A9C-CBB3-438F-8F68-D28B6AF4A901}">
        <xltc2:checksum>2716670165</xltc2:checksum>
        <xltc2:hyperlink startIndex="27" length="110" url="https://www.healthierlsc.co.uk/application/files/7116/8487/3598/LSCICB_Clin41_Policy_for_Hysteroscopy_v2.1.pdf"/>
      </x:ext>
    </extLst>
  </threadedComment>
  <threadedComment ref="AA145" dT="2025-06-27T10:28:14.50" personId="{95736710-EFA0-493C-AAE5-6E4C07E0F9AD}" id="{1595F143-D002-4696-B004-5E8AB3CA1C5B}">
    <text>Tick - https://www.midandsouthessex.ics.nhs.uk/publications/srp-058-heavy-menstrual-bleeding-including-uterine-fibroids/</text>
    <extLst>
      <x:ext xmlns:xltc2="http://schemas.microsoft.com/office/spreadsheetml/2020/threadedcomments2" uri="{F7C98A9C-CBB3-438F-8F68-D28B6AF4A901}">
        <xltc2:checksum>1283237763</xltc2:checksum>
        <xltc2:hyperlink startIndex="7" length="113" url="https://www.midandsouthessex.ics.nhs.uk/publications/srp-058-heavy-menstrual-bleeding-including-uterine-fibroids/"/>
      </x:ext>
    </extLst>
  </threadedComment>
  <threadedComment ref="AF145" dT="2025-06-27T21:43:40.18" personId="{95736710-EFA0-493C-AAE5-6E4C07E0F9AD}" id="{9017DE84-FD55-406A-B6AE-BD17A2A1622C}">
    <text>Tick https://www.nwlondonicb.nhs.uk/application/files/6316/7664/3314/Magnetic_Resonance_Guided_Focused_Ultrasound_v7.pdf</text>
    <extLst>
      <x:ext xmlns:xltc2="http://schemas.microsoft.com/office/spreadsheetml/2020/threadedcomments2" uri="{F7C98A9C-CBB3-438F-8F68-D28B6AF4A901}">
        <xltc2:checksum>2133045992</xltc2:checksum>
        <xltc2:hyperlink startIndex="5" length="115" url="https://www.nwlondonicb.nhs.uk/application/files/6316/7664/3314/Magnetic_Resonance_Guided_Focused_Ultrasound_v7.pdf"/>
      </x:ext>
    </extLst>
  </threadedComment>
  <threadedComment ref="AJ145" dT="2025-06-27T23:12:51.51" personId="{95736710-EFA0-493C-AAE5-6E4C07E0F9AD}" id="{9CB44C36-214D-44A3-A98C-1BD2B95D1891}">
    <text xml:space="preserve">Ref to hysteroscopy for fibroids https://nhssomerset.nhs.uk/wp-content/uploads/sites/2/Hysterectomy-for-Menorrhagia-CBA-Policy-2425.v2c-20240624.pdf
</text>
    <extLst>
      <x:ext xmlns:xltc2="http://schemas.microsoft.com/office/spreadsheetml/2020/threadedcomments2" uri="{F7C98A9C-CBB3-438F-8F68-D28B6AF4A901}">
        <xltc2:checksum>3754251245</xltc2:checksum>
        <xltc2:hyperlink startIndex="33" length="115" url="https://nhssomerset.nhs.uk/wp-content/uploads/sites/2/Hysterectomy-for-Menorrhagia-CBA-Policy-2425.v2c-20240624.pdf"/>
      </x:ext>
    </extLst>
  </threadedComment>
  <threadedComment ref="J147" dT="2025-06-18T09:59:06.49" personId="{95736710-EFA0-493C-AAE5-6E4C07E0F9AD}" id="{320C18AC-3D28-4DC2-B04D-B7F6D8A79B9A}">
    <text>?tick https://cheshireandmerseyside.nhs.uk/media/j4pcd1gu/pol-clin110-erectiledys-v1-final.pdf</text>
    <extLst>
      <x:ext xmlns:xltc2="http://schemas.microsoft.com/office/spreadsheetml/2020/threadedcomments2" uri="{F7C98A9C-CBB3-438F-8F68-D28B6AF4A901}">
        <xltc2:checksum>2379194617</xltc2:checksum>
        <xltc2:hyperlink startIndex="6" length="88" url="https://cheshireandmerseyside.nhs.uk/media/j4pcd1gu/pol-clin110-erectiledys-v1-final.pdf"/>
      </x:ext>
    </extLst>
  </threadedComment>
  <threadedComment ref="K147" dT="2025-06-18T11:18:54.96" personId="{95736710-EFA0-493C-AAE5-6E4C07E0F9AD}" id="{01F90D05-4721-4DE9-9412-2DD2B120F327}">
    <text>Not routinely commissioned https://docs.cios.icb.nhs.uk/DocumentsLibrary/NHSCornwallAndIslesOfScilly/Services/IndividualFundingRequests/CommissioningPolicies.pdf</text>
    <extLst>
      <x:ext xmlns:xltc2="http://schemas.microsoft.com/office/spreadsheetml/2020/threadedcomments2" uri="{F7C98A9C-CBB3-438F-8F68-D28B6AF4A901}">
        <xltc2:checksum>1903975952</xltc2:checksum>
        <xltc2:hyperlink startIndex="27" length="134" url="https://docs.cios.icb.nhs.uk/DocumentsLibrary/NHSCornwallAndIslesOfScilly/Services/IndividualFundingRequests/CommissioningPolicies.pdf"/>
      </x:ext>
    </extLst>
  </threadedComment>
  <threadedComment ref="T147" dT="2025-06-22T19:25:36.83" personId="{95736710-EFA0-493C-AAE5-6E4C07E0F9AD}" id="{F27FAB66-44E5-41F9-AFAE-6CC96FD85E51}">
    <text>Unable to find ref</text>
  </threadedComment>
  <threadedComment ref="AI147" dT="2025-06-26T20:30:23.04" personId="{95736710-EFA0-493C-AAE5-6E4C07E0F9AD}" id="{69595BFF-7383-4372-850E-27920FEF6D94}">
    <text>Tick - “In patients with Peyronie’s disease and erectile dysfunction is not responding to medical treatments, the surgical correction of the curvature with concomitant penile prosthesis implantation should be considered ”</text>
  </threadedComment>
  <threadedComment ref="O148" dT="2025-06-18T15:46:01.23" personId="{95736710-EFA0-493C-AAE5-6E4C07E0F9AD}" id="{360D8BAA-C221-4760-8291-F6945AE733FB}">
    <text>Unable to find</text>
  </threadedComment>
  <threadedComment ref="J149" dT="2025-06-18T09:41:20.93" personId="{95736710-EFA0-493C-AAE5-6E4C07E0F9AD}" id="{916FDC83-1642-4050-A8FF-A62E2AB7415B}">
    <text>Should be a tick https://www.cheshireandmerseyside.nhs.uk/media/u11fcbxf/pol-clin101-pinnaplasty-final-v04.pdf</text>
    <extLst>
      <x:ext xmlns:xltc2="http://schemas.microsoft.com/office/spreadsheetml/2020/threadedcomments2" uri="{F7C98A9C-CBB3-438F-8F68-D28B6AF4A901}">
        <xltc2:checksum>3753042635</xltc2:checksum>
        <xltc2:hyperlink startIndex="17" length="93" url="https://www.cheshireandmerseyside.nhs.uk/media/u11fcbxf/pol-clin101-pinnaplasty-final-v04.pdf"/>
      </x:ext>
    </extLst>
  </threadedComment>
  <threadedComment ref="Q149" dT="2025-06-18T16:55:05.49" personId="{95736710-EFA0-493C-AAE5-6E4C07E0F9AD}" id="{675AB0B1-761C-42DB-84E2-9243339A65FD}">
    <text>IFR https://www.nhsglos.nhs.uk/wp-content/uploads/2023/07/Facial-Procedures.pdf</text>
    <extLst>
      <x:ext xmlns:xltc2="http://schemas.microsoft.com/office/spreadsheetml/2020/threadedcomments2" uri="{F7C98A9C-CBB3-438F-8F68-D28B6AF4A901}">
        <xltc2:checksum>2466487764</xltc2:checksum>
        <xltc2:hyperlink startIndex="4" length="75" url="https://www.nhsglos.nhs.uk/wp-content/uploads/2023/07/Facial-Procedures.pdf"/>
      </x:ext>
    </extLst>
  </threadedComment>
  <threadedComment ref="R149" dT="2025-06-18T21:30:30.77" personId="{95736710-EFA0-493C-AAE5-6E4C07E0F9AD}" id="{B8653D9C-15E9-4912-8162-FA8193BC4C45}">
    <text>2. Surgery below the age of 5 should only be offered if correction of prominence will help in retaining hearing aids securely, in children for whom they are required. 3. This procedure/treatment is not routinely commissioned for adults over the age of 18 years. http://nhsgmgmicbsa.blob.core.windows.net/nhsgmgmicbblobstorage/GMEUR/Commissioning%20Statements/GM%20Pinnaplasty%20Commissioning%20Statement.pdf</text>
    <extLst>
      <x:ext xmlns:xltc2="http://schemas.microsoft.com/office/spreadsheetml/2020/threadedcomments2" uri="{F7C98A9C-CBB3-438F-8F68-D28B6AF4A901}">
        <xltc2:checksum>1949996372</xltc2:checksum>
        <xltc2:hyperlink startIndex="262" length="145" url="http://nhsgmgmicbsa.blob.core.windows.net/nhsgmgmicbblobstorage/GMEUR/Commissioning%20Statements/GM%20Pinnaplasty%20Commissioning%20Statement.pdf"/>
      </x:ext>
    </extLst>
  </threadedComment>
  <threadedComment ref="Z149" dT="2025-06-24T08:50:51.58" personId="{95736710-EFA0-493C-AAE5-6E4C07E0F9AD}" id="{AF9CFEEE-1549-44F7-A5DF-1056B77EEA63}">
    <text>IFR</text>
  </threadedComment>
  <threadedComment ref="AL149" dT="2025-06-26T21:47:46.93" personId="{95736710-EFA0-493C-AAE5-6E4C07E0F9AD}" id="{730FD49D-62DC-4A64-BF29-6110F395BEA1}">
    <text>I think IFR, but gives criteria for IFR “Surgical correction of prominent ears will not be routinely commissioned by the NHS for cosmetic reasons. Cases may be considered on an exceptional basis, for example where the patient: • is aged 5-19 at the time of referral and the child ( ”</text>
  </threadedComment>
  <threadedComment ref="C150" dT="2025-06-03T11:40:36.92" personId="{95736710-EFA0-493C-AAE5-6E4C07E0F9AD}" id="{A9323B5E-0F38-44CD-8880-CFF0182B3D37}">
    <text>Only pinnaplasty? N/A for lobules - cannot find lobe policy</text>
  </threadedComment>
  <threadedComment ref="R150" dT="2025-06-18T21:31:18.67" personId="{95736710-EFA0-493C-AAE5-6E4C07E0F9AD}" id="{E01781CA-CFF2-4D5C-8619-5AA59BBF4048}">
    <text>1. Repair of split ear lobes is commissioned where the ear lobes have split as a result of direct trauma.  https://nhsgmgmicbsa.blob.core.windows.net/nhsgmgmicbblobstorage/GMEUR/Commissioning%20Statements/GM%20Repair%20of%20Split%20Torn%20Ear%20Lobes%20Commissioning%20Statement.pdf</text>
    <extLst>
      <x:ext xmlns:xltc2="http://schemas.microsoft.com/office/spreadsheetml/2020/threadedcomments2" uri="{F7C98A9C-CBB3-438F-8F68-D28B6AF4A901}">
        <xltc2:checksum>2011965936</xltc2:checksum>
        <xltc2:hyperlink startIndex="107" length="175" url="https://nhsgmgmicbsa.blob.core.windows.net/nhsgmgmicbblobstorage/GMEUR/Commissioning%20Statements/GM%20Repair%20of%20Split%20Torn%20Ear%20Lobes%20Commissioning%20Statement.pdf"/>
      </x:ext>
    </extLst>
  </threadedComment>
  <threadedComment ref="W150" dT="2025-06-24T10:08:40.19" personId="{95736710-EFA0-493C-AAE5-6E4C07E0F9AD}" id="{1FB90821-6438-475D-92B3-CF324F1A8035}">
    <text>Tick “Surgery to repair the lobe of external ear is not routinely funded except for completely split ear lobes as a result of direct trauma ” https://www.kentandmedway.icb.nhs.uk/application/files/9817/1292/6708/KM_RaTC_April_2024.pdf</text>
    <extLst>
      <x:ext xmlns:xltc2="http://schemas.microsoft.com/office/spreadsheetml/2020/threadedcomments2" uri="{F7C98A9C-CBB3-438F-8F68-D28B6AF4A901}">
        <xltc2:checksum>562619223</xltc2:checksum>
        <xltc2:hyperlink startIndex="142" length="92" url="https://www.kentandmedway.icb.nhs.uk/application/files/9817/1292/6708/KM_RaTC_April_2024.pdf"/>
      </x:ext>
    </extLst>
  </threadedComment>
  <threadedComment ref="AQ150" dT="2025-06-28T11:55:58.55" personId="{95736710-EFA0-493C-AAE5-6E4C07E0F9AD}" id="{8FCD66D5-2BBC-4579-A970-5F732FCE70E3}">
    <text>Tick for trauma https://www.wypartnership.co.uk/application/files/1516/8907/1281/Earlobe_repair_12.2021.pdf</text>
    <extLst>
      <x:ext xmlns:xltc2="http://schemas.microsoft.com/office/spreadsheetml/2020/threadedcomments2" uri="{F7C98A9C-CBB3-438F-8F68-D28B6AF4A901}">
        <xltc2:checksum>3589031779</xltc2:checksum>
        <xltc2:hyperlink startIndex="16" length="91" url="https://www.wypartnership.co.uk/application/files/1516/8907/1281/Earlobe_repair_12.2021.pdf"/>
      </x:ext>
    </extLst>
  </threadedComment>
  <threadedComment ref="C151" dT="2025-06-03T11:42:43.46" personId="{95736710-EFA0-493C-AAE5-6E4C07E0F9AD}" id="{E6844650-D44F-4E10-B622-83DFDA0E2DCD}">
    <text>Unable to find</text>
  </threadedComment>
  <threadedComment ref="J151" dT="2025-06-17T22:44:29.29" personId="{95736710-EFA0-493C-AAE5-6E4C07E0F9AD}" id="{70B94C9B-5C00-481A-890B-9409F4422987}">
    <text>IFR https://www.cheshireandmerseyside.nhs.uk/media/e3eemysw/pol-clin056-tattoo-laser-removal-final-v04.pdf</text>
    <extLst>
      <x:ext xmlns:xltc2="http://schemas.microsoft.com/office/spreadsheetml/2020/threadedcomments2" uri="{F7C98A9C-CBB3-438F-8F68-D28B6AF4A901}">
        <xltc2:checksum>1033358749</xltc2:checksum>
        <xltc2:hyperlink startIndex="4" length="102" url="https://www.cheshireandmerseyside.nhs.uk/media/e3eemysw/pol-clin056-tattoo-laser-removal-final-v04.pdf"/>
      </x:ext>
    </extLst>
  </threadedComment>
  <threadedComment ref="M151" dT="2025-06-18T13:40:50.04" personId="{95736710-EFA0-493C-AAE5-6E4C07E0F9AD}" id="{87FED25A-2956-4CDE-82E6-B2F017F4ED95}">
    <text>Criteria based https://www.derbyshiremedicinesmanagement.nhs.uk/assets/Clinical-Policies/Clinical_Policies/Cosmetic/cosmetic/Laser_Treatment_for_Skin_Conditions.pdf</text>
    <extLst>
      <x:ext xmlns:xltc2="http://schemas.microsoft.com/office/spreadsheetml/2020/threadedcomments2" uri="{F7C98A9C-CBB3-438F-8F68-D28B6AF4A901}">
        <xltc2:checksum>3892566372</xltc2:checksum>
        <xltc2:hyperlink startIndex="15" length="149" url="https://www.derbyshiremedicinesmanagement.nhs.uk/assets/Clinical-Policies/Clinical_Policies/Cosmetic/cosmetic/Laser_Treatment_for_Skin_Conditions.pdf"/>
      </x:ext>
    </extLst>
  </threadedComment>
  <threadedComment ref="R151" dT="2025-06-18T21:31:47.16" personId="{95736710-EFA0-493C-AAE5-6E4C07E0F9AD}" id="{E78C2D13-EA87-4D24-AC6C-79F6EBD7DBB0}">
    <text>Criteria https://nhsgmgmicbsa.blob.core.windows.net/nhsgmgmicbblobstorage/GMEUR/Commissioning%20Statements/GM%20Tattoo%20Removal%20Commissioning%20Statement.pdf</text>
    <extLst>
      <x:ext xmlns:xltc2="http://schemas.microsoft.com/office/spreadsheetml/2020/threadedcomments2" uri="{F7C98A9C-CBB3-438F-8F68-D28B6AF4A901}">
        <xltc2:checksum>559073913</xltc2:checksum>
        <xltc2:hyperlink startIndex="9" length="151" url="https://nhsgmgmicbsa.blob.core.windows.net/nhsgmgmicbblobstorage/GMEUR/Commissioning%20Statements/GM%20Tattoo%20Removal%20Commissioning%20Statement.pdf"/>
      </x:ext>
    </extLst>
  </threadedComment>
  <threadedComment ref="V151" dT="2025-06-22T21:48:24.14" personId="{95736710-EFA0-493C-AAE5-6E4C07E0F9AD}" id="{08215EC9-C9A9-47D3-9B89-0CD86C1806BF}">
    <text>Tick https://humberandnorthyorkshire.icb.nhs.uk/wp-content/uploads/2024/12/Tattoo-Removal.docx</text>
    <extLst>
      <x:ext xmlns:xltc2="http://schemas.microsoft.com/office/spreadsheetml/2020/threadedcomments2" uri="{F7C98A9C-CBB3-438F-8F68-D28B6AF4A901}">
        <xltc2:checksum>3701714815</xltc2:checksum>
        <xltc2:hyperlink startIndex="5" length="89" url="https://humberandnorthyorkshire.icb.nhs.uk/wp-content/uploads/2024/12/Tattoo-Removal.docx"/>
      </x:ext>
    </extLst>
  </threadedComment>
  <threadedComment ref="AH151" dT="2025-06-26T19:46:45.20" personId="{95736710-EFA0-493C-AAE5-6E4C07E0F9AD}" id="{8F156ABC-3418-4D8F-B749-56800495A183}">
    <text>Tick - Tattoo removal if one of the following two criteria are met: o Iatrogenic o Result of trauma inflicted against the will of the patient where referral for removal has been sought within one year of the tattoo being performed https://notts.icb.nhs.uk/wp-content/uploads/sites/2/2022/04/Value-Based-Commissioning-PolicyV1.4-2.pdf</text>
    <extLst>
      <x:ext xmlns:xltc2="http://schemas.microsoft.com/office/spreadsheetml/2020/threadedcomments2" uri="{F7C98A9C-CBB3-438F-8F68-D28B6AF4A901}">
        <xltc2:checksum>913018468</xltc2:checksum>
        <xltc2:hyperlink startIndex="231" length="102" url="https://notts.icb.nhs.uk/wp-content/uploads/sites/2/2022/04/Value-Based-Commissioning-PolicyV1.4-2.pdf"/>
      </x:ext>
    </extLst>
  </threadedComment>
  <threadedComment ref="AL151" dT="2025-06-26T21:48:24.37" personId="{95736710-EFA0-493C-AAE5-6E4C07E0F9AD}" id="{6E051928-49B9-4249-ABC3-38D3796A3326}">
    <text>Same issue here “Tattoo removal will not be routinely commissioned by the NHS. Cases may be considered on an exceptional basis, for example where the patient: • has suffered a significant allergic reaction to the dye and medical treatments have failed • has been given a tattoo against their will (rape tattoo) ”</text>
  </threadedComment>
  <threadedComment ref="T152" dT="2025-06-22T19:27:35.29" personId="{95736710-EFA0-493C-AAE5-6E4C07E0F9AD}" id="{6BC99757-60DE-4E17-BA7C-5FEAA78C24F0}">
    <text>Cannot find ref</text>
  </threadedComment>
  <threadedComment ref="G153" dT="2025-06-17T16:42:16.40" personId="{95736710-EFA0-493C-AAE5-6E4C07E0F9AD}" id="{84C212BC-A982-4810-9817-37514F24538A}">
    <text>Unable to find</text>
  </threadedComment>
  <threadedComment ref="K153" dT="2025-06-18T10:36:06.60" personId="{95736710-EFA0-493C-AAE5-6E4C07E0F9AD}" id="{CCDC29DE-1DFD-462C-BCA8-7B12C9923ACD}">
    <text>Cannot find only botox for hyperhidrosis https://docs.cios.icb.nhs.uk/DocumentsLibrary/NHSCornwallAndIslesOfScilly/Services/IndividualFundingRequests/CommissioningPolicies.pdf</text>
    <extLst>
      <x:ext xmlns:xltc2="http://schemas.microsoft.com/office/spreadsheetml/2020/threadedcomments2" uri="{F7C98A9C-CBB3-438F-8F68-D28B6AF4A901}">
        <xltc2:checksum>4188802403</xltc2:checksum>
        <xltc2:hyperlink startIndex="41" length="134" url="https://docs.cios.icb.nhs.uk/DocumentsLibrary/NHSCornwallAndIslesOfScilly/Services/IndividualFundingRequests/CommissioningPolicies.pdf"/>
      </x:ext>
    </extLst>
  </threadedComment>
  <threadedComment ref="T153" dT="2025-06-22T18:43:04.02" personId="{95736710-EFA0-493C-AAE5-6E4C07E0F9AD}" id="{015EE16B-E8DC-4630-9C72-02CCB9EE1C43}">
    <text>Mentioned in hyperhidrosis so IFR? https://www.hwics.org.uk/application/files/9617/0186/0193/ICB_Aesthetic_Treatment__Surgery_v1.4_Final.pdf</text>
    <extLst>
      <x:ext xmlns:xltc2="http://schemas.microsoft.com/office/spreadsheetml/2020/threadedcomments2" uri="{F7C98A9C-CBB3-438F-8F68-D28B6AF4A901}">
        <xltc2:checksum>609510985</xltc2:checksum>
        <xltc2:hyperlink startIndex="35" length="105" url="https://www.hwics.org.uk/application/files/9617/0186/0193/ICB_Aesthetic_Treatment__Surgery_v1.4_Final.pdf"/>
      </x:ext>
    </extLst>
  </threadedComment>
  <threadedComment ref="AA153" dT="2025-06-27T10:30:09.17" personId="{95736710-EFA0-493C-AAE5-6E4C07E0F9AD}" id="{65ABAC5A-DC20-42DF-9F6F-0C42FE1046D0}">
    <text>IFR https://www.midandsouthessex.ics.nhs.uk/publications/srp-063-hyperhidrosis-botulinum-toxin-type-a/</text>
    <extLst>
      <x:ext xmlns:xltc2="http://schemas.microsoft.com/office/spreadsheetml/2020/threadedcomments2" uri="{F7C98A9C-CBB3-438F-8F68-D28B6AF4A901}">
        <xltc2:checksum>698066353</xltc2:checksum>
        <xltc2:hyperlink startIndex="4" length="98" url="https://www.midandsouthessex.ics.nhs.uk/publications/srp-063-hyperhidrosis-botulinum-toxin-type-a/"/>
      </x:ext>
    </extLst>
  </threadedComment>
  <threadedComment ref="AC153" dT="2025-06-24T21:51:19.88" personId="{95736710-EFA0-493C-AAE5-6E4C07E0F9AD}" id="{483CA14A-2370-4BF0-8A05-BCF8F203327C}">
    <text>Looks like tick part of nice guidance? https://nclhealthandcare.org.uk/wp-content/uploads/2024/02/NCL-EBICS-Policy-v9.2-2.pdf</text>
    <extLst>
      <x:ext xmlns:xltc2="http://schemas.microsoft.com/office/spreadsheetml/2020/threadedcomments2" uri="{F7C98A9C-CBB3-438F-8F68-D28B6AF4A901}">
        <xltc2:checksum>4161786001</xltc2:checksum>
        <xltc2:hyperlink startIndex="39" length="86" url="https://nclhealthandcare.org.uk/wp-content/uploads/2024/02/NCL-EBICS-Policy-v9.2-2.pdf"/>
      </x:ext>
    </extLst>
  </threadedComment>
  <threadedComment ref="AH153" dT="2025-06-26T19:47:34.08" personId="{95736710-EFA0-493C-AAE5-6E4C07E0F9AD}" id="{2D1344B0-2992-4636-9DF6-D4C3AC709A4E}">
    <text>IFR “Endoscopy thoracic sympathectomy Category: (IFR / Prior Approval / Monitored Approval) IFR Local or National EBI (Evidence Based Interventions) Policy: Local ” https://notts.icb.nhs.uk/wp-content/uploads/sites/2/2022/04/Value-Based-Commissioning-PolicyV1.4-2.pdf</text>
    <extLst>
      <x:ext xmlns:xltc2="http://schemas.microsoft.com/office/spreadsheetml/2020/threadedcomments2" uri="{F7C98A9C-CBB3-438F-8F68-D28B6AF4A901}">
        <xltc2:checksum>3997655476</xltc2:checksum>
        <xltc2:hyperlink startIndex="165" length="102" url="https://notts.icb.nhs.uk/wp-content/uploads/sites/2/2022/04/Value-Based-Commissioning-PolicyV1.4-2.pdf"/>
      </x:ext>
    </extLst>
  </threadedComment>
  <threadedComment ref="D154" dT="2025-06-11T15:09:42.27" personId="{95736710-EFA0-493C-AAE5-6E4C07E0F9AD}" id="{7135C0EF-05E5-4737-B344-F88FCFBAE149}">
    <text xml:space="preserve">Criteria Based Access: Tonsillectomy for recurrent Intervention Not Normally Funded: Tonsillectomy for tonsilloliths - https://bedfordshirelutonandmiltonkeynes.icb.nhs.uk/~documents/policies/evidence-based-clinical-policies/tonsillectomy-for-tonsillitis-and-tonsilloliths </text>
    <extLst>
      <x:ext xmlns:xltc2="http://schemas.microsoft.com/office/spreadsheetml/2020/threadedcomments2" uri="{F7C98A9C-CBB3-438F-8F68-D28B6AF4A901}">
        <xltc2:checksum>4026160430</xltc2:checksum>
        <xltc2:hyperlink startIndex="119" length="152" url="https://bedfordshirelutonandmiltonkeynes.icb.nhs.uk/~documents/policies/evidence-based-clinical-policies/tonsillectomy-for-tonsillitis-and-tonsilloliths"/>
      </x:ext>
    </extLst>
  </threadedComment>
  <threadedComment ref="Q155" dT="2025-06-18T19:08:25.91" personId="{95736710-EFA0-493C-AAE5-6E4C07E0F9AD}" id="{7743512B-8D07-4F43-89FC-CB47FF2BA37B}">
    <text>Cannot find</text>
  </threadedComment>
  <threadedComment ref="S155" dT="2025-06-18T22:02:41.68" personId="{95736710-EFA0-493C-AAE5-6E4C07E0F9AD}" id="{B144B66D-F1D8-492D-861D-D06530FDBFB0}">
    <text>Cannot find https://fundingrequests.scwcsu.nhs.uk/wp-content/uploads/2023/04/Policy-72-Cosmetic-interventions-for-adults-and-children-v1.1.pdf</text>
    <extLst>
      <x:ext xmlns:xltc2="http://schemas.microsoft.com/office/spreadsheetml/2020/threadedcomments2" uri="{F7C98A9C-CBB3-438F-8F68-D28B6AF4A901}">
        <xltc2:checksum>3585897594</xltc2:checksum>
        <xltc2:hyperlink startIndex="12" length="130" url="https://fundingrequests.scwcsu.nhs.uk/wp-content/uploads/2023/04/Policy-72-Cosmetic-interventions-for-adults-and-children-v1.1.pdf"/>
      </x:ext>
    </extLst>
  </threadedComment>
  <threadedComment ref="V155" dT="2025-06-22T21:59:17.43" personId="{95736710-EFA0-493C-AAE5-6E4C07E0F9AD}" id="{DC23DD26-7B5F-453C-A61A-675015421E7B}">
    <text>Unable to find ref</text>
  </threadedComment>
  <threadedComment ref="W155" dT="2025-06-24T10:10:02.99" personId="{95736710-EFA0-493C-AAE5-6E4C07E0F9AD}" id="{898173AA-3733-48A1-A211-4420695A22EE}">
    <text>Unable to find ref https://www.kentandmedway.icb.nhs.uk/application/files/9817/1292/6708/KM_RaTC_April_2024.pdf</text>
    <extLst>
      <x:ext xmlns:xltc2="http://schemas.microsoft.com/office/spreadsheetml/2020/threadedcomments2" uri="{F7C98A9C-CBB3-438F-8F68-D28B6AF4A901}">
        <xltc2:checksum>1926945429</xltc2:checksum>
        <xltc2:hyperlink startIndex="19" length="92" url="https://www.kentandmedway.icb.nhs.uk/application/files/9817/1292/6708/KM_RaTC_April_2024.pdf"/>
      </x:ext>
    </extLst>
  </threadedComment>
  <threadedComment ref="X155" dT="2025-06-27T09:22:26.31" personId="{95736710-EFA0-493C-AAE5-6E4C07E0F9AD}" id="{9C0C08E0-185E-4776-9486-8A3799263FCE}">
    <text>Unable to find ref</text>
  </threadedComment>
  <threadedComment ref="Z155" dT="2025-06-24T08:52:36.49" personId="{95736710-EFA0-493C-AAE5-6E4C07E0F9AD}" id="{EFC7F8DB-0E37-47E9-8D1C-A36CE4FF3FC5}">
    <text>“The ICB will only fund laser treatment for the following conditions: • Port wine stains - on the face only (not scalp or neck) only where the criteria for ‘Congenital pigmented lesion on the face’ is met • Extensive and severe iatrogenic telangiectasia • Congenital pigmented lesions on the face ” - tick</text>
  </threadedComment>
  <threadedComment ref="M157" dT="2025-06-18T13:43:36.04" personId="{95736710-EFA0-493C-AAE5-6E4C07E0F9AD}" id="{9C27FC6C-4818-493D-A75D-55DA8B31666F}">
    <text>IFR https://www.derbyshiremedicinesmanagement.nhs.uk/assets/Clinical-Policies/Clinical_Policies/PLCV/neurology/Trophic_Electrical_Stimulation_for_Facial_Palsy%20.pdf</text>
    <extLst>
      <x:ext xmlns:xltc2="http://schemas.microsoft.com/office/spreadsheetml/2020/threadedcomments2" uri="{F7C98A9C-CBB3-438F-8F68-D28B6AF4A901}">
        <xltc2:checksum>1194449290</xltc2:checksum>
        <xltc2:hyperlink startIndex="4" length="161" url="https://www.derbyshiremedicinesmanagement.nhs.uk/assets/Clinical-Policies/Clinical_Policies/PLCV/neurology/Trophic_Electrical_Stimulation_for_Facial_Palsy%20.pdf"/>
      </x:ext>
    </extLst>
  </threadedComment>
  <threadedComment ref="AH157" dT="2025-06-26T19:48:27.77" personId="{95736710-EFA0-493C-AAE5-6E4C07E0F9AD}" id="{426B003E-969E-4E80-86B2-974817607249}">
    <text>Unable to find ref</text>
  </threadedComment>
  <threadedComment ref="Q158" dT="2025-06-18T16:57:15.64" personId="{95736710-EFA0-493C-AAE5-6E4C07E0F9AD}" id="{BF9D100B-6C3F-4AF7-B3C2-8D545E0CB484}">
    <text>Cannot find</text>
  </threadedComment>
  <threadedComment ref="V158" dT="2025-06-22T21:26:13.20" personId="{95736710-EFA0-493C-AAE5-6E4C07E0F9AD}" id="{EF5662F6-56D8-4FB0-8DC3-9A7EB67834D3}">
    <text>Should be a tick https://humberandnorthyorkshire.icb.nhs.uk/wp-content/uploads/2025/04/087-Exogen-Ultrasound-Bone-Healing-Exogen-Therapy.docx</text>
    <extLst>
      <x:ext xmlns:xltc2="http://schemas.microsoft.com/office/spreadsheetml/2020/threadedcomments2" uri="{F7C98A9C-CBB3-438F-8F68-D28B6AF4A901}">
        <xltc2:checksum>3941818115</xltc2:checksum>
        <xltc2:hyperlink startIndex="17" length="124" url="https://humberandnorthyorkshire.icb.nhs.uk/wp-content/uploads/2025/04/087-Exogen-Ultrasound-Bone-Healing-Exogen-Therapy.docx"/>
      </x:ext>
    </extLst>
  </threadedComment>
  <threadedComment ref="F159" dT="2025-06-13T10:36:36.01" personId="{95736710-EFA0-493C-AAE5-6E4C07E0F9AD}" id="{C671EB97-D7EB-47D1-8AD9-B413E631951D}">
    <text>EBI Upper GI (gastrointestinal) endoscopy - inpatients
A routine test using a long thin tube with a small camera (called an endoscope) is passed via the mouth to examine the Oesophagus (food pipe), stomach and part of the small intestines.
Upper GI (gastrointestinal) endoscopy - outpatients
A routine test using a long, thin tube with a small camera (called an endoscope) which is passed via the mouth to examine the Oesophagus (food pipe), stomach and part of the small intestines. ​​
 https://blackcountry.icb.nhs.uk/have-your-say/get-involved/current-consultations-and-engagement/clinical-policy-review2</text>
    <extLst>
      <x:ext xmlns:xltc2="http://schemas.microsoft.com/office/spreadsheetml/2020/threadedcomments2" uri="{F7C98A9C-CBB3-438F-8F68-D28B6AF4A901}">
        <xltc2:checksum>2514811561</xltc2:checksum>
        <xltc2:hyperlink startIndex="488" length="119" url="https://blackcountry.icb.nhs.uk/have-your-say/get-involved/current-consultations-and-engagement/clinical-policy-review2"/>
      </x:ext>
    </extLst>
  </threadedComment>
  <threadedComment ref="G159" dT="2025-06-17T16:45:24.46" personId="{95736710-EFA0-493C-AAE5-6E4C07E0F9AD}" id="{4759A2D6-3CF6-416B-BD95-70BA026F0A53}">
    <text>?offered as CBA https://bnssghealthiertogether.org.uk/wp-content/uploads/2024/01/FOI.ICB-2324_252-Final-Response.pdf</text>
    <extLst>
      <x:ext xmlns:xltc2="http://schemas.microsoft.com/office/spreadsheetml/2020/threadedcomments2" uri="{F7C98A9C-CBB3-438F-8F68-D28B6AF4A901}">
        <xltc2:checksum>3019860260</xltc2:checksum>
        <xltc2:hyperlink startIndex="16" length="100" url="https://bnssghealthiertogether.org.uk/wp-content/uploads/2024/01/FOI.ICB-2324_252-Final-Response.pdf"/>
      </x:ext>
    </extLst>
  </threadedComment>
  <threadedComment ref="Z159" dT="2025-06-24T08:53:56.62" personId="{95736710-EFA0-493C-AAE5-6E4C07E0F9AD}" id="{77C22F60-48E9-4DAA-9197-4B56BC111EF5}">
    <text>Only ref is ERCP and sinus surgery - therefore NA or counts as gastro?</text>
  </threadedComment>
  <threadedComment ref="P160" dT="2025-06-18T16:14:26.00" personId="{95736710-EFA0-493C-AAE5-6E4C07E0F9AD}" id="{B5E9CC79-5118-4965-B2CB-976AF047A581}">
    <text>Mesh criteria https://fundingrequests.scwcsu.nhs.uk/wp-content/uploads/2024/04/BOBFPC-059-Management-of-female-pelvic-organ-prolapse-v2.0.pdf</text>
    <extLst>
      <x:ext xmlns:xltc2="http://schemas.microsoft.com/office/spreadsheetml/2020/threadedcomments2" uri="{F7C98A9C-CBB3-438F-8F68-D28B6AF4A901}">
        <xltc2:checksum>2355333873</xltc2:checksum>
        <xltc2:hyperlink startIndex="14" length="127" url="https://fundingrequests.scwcsu.nhs.uk/wp-content/uploads/2024/04/BOBFPC-059-Management-of-female-pelvic-organ-prolapse-v2.0.pdf"/>
      </x:ext>
    </extLst>
  </threadedComment>
  <threadedComment ref="W160" dT="2025-06-24T10:12:08.41" personId="{95736710-EFA0-493C-AAE5-6E4C07E0F9AD}" id="{34257601-1E8A-4AB9-9533-3DE07C4BFD54}">
    <text>Pg 164 “Posterior colporrhaphy with mesh reinforcement ” - tick https://www.kentandmedway.icb.nhs.uk/application/files/9817/1292/6708/KM_RaTC_April_2024.pdf</text>
    <extLst>
      <x:ext xmlns:xltc2="http://schemas.microsoft.com/office/spreadsheetml/2020/threadedcomments2" uri="{F7C98A9C-CBB3-438F-8F68-D28B6AF4A901}">
        <xltc2:checksum>594185596</xltc2:checksum>
        <xltc2:hyperlink startIndex="64" length="92" url="https://www.kentandmedway.icb.nhs.uk/application/files/9817/1292/6708/KM_RaTC_April_2024.pdf"/>
      </x:ext>
    </extLst>
  </threadedComment>
  <threadedComment ref="AA160" dT="2025-06-27T10:53:52.48" personId="{95736710-EFA0-493C-AAE5-6E4C07E0F9AD}" id="{37BA7A4F-D8B8-4CC4-96D3-CAC8B988D1BD}">
    <text>IFR - Use of mesh (synthetic) is not funded.  Current evidence on the safety of transvaginal mesh repair of anterior or posterior vaginal wall prolapse shows there are serious but well-recognised safety concerns. Evidence of long-term efficacy is inadequate in quality and quantity. Therefore, this procedure should only be used in the context of research. https://www.midandsouthessex.ics.nhs.uk/publications/srp-107-vaginal-vault-uterine-prolapse/</text>
    <extLst>
      <x:ext xmlns:xltc2="http://schemas.microsoft.com/office/spreadsheetml/2020/threadedcomments2" uri="{F7C98A9C-CBB3-438F-8F68-D28B6AF4A901}">
        <xltc2:checksum>3091784347</xltc2:checksum>
        <xltc2:hyperlink startIndex="357" length="92" url="https://www.midandsouthessex.ics.nhs.uk/publications/srp-107-vaginal-vault-uterine-prolapse/"/>
      </x:ext>
    </extLst>
  </threadedComment>
  <threadedComment ref="AH160" dT="2025-06-26T19:49:37.54" personId="{95736710-EFA0-493C-AAE5-6E4C07E0F9AD}" id="{9566CBE8-0F33-4E27-A6A3-8F59AB0ED7BF}">
    <text>?biological mesh covers? “Other indications will require Individual Funding Requests (IFR) ” https://notts.icb.nhs.uk/wp-content/uploads/sites/2/2022/04/Value-Based-Commissioning-PolicyV1.4-2.pdf</text>
    <extLst>
      <x:ext xmlns:xltc2="http://schemas.microsoft.com/office/spreadsheetml/2020/threadedcomments2" uri="{F7C98A9C-CBB3-438F-8F68-D28B6AF4A901}">
        <xltc2:checksum>615459138</xltc2:checksum>
        <xltc2:hyperlink startIndex="93" length="102" url="https://notts.icb.nhs.uk/wp-content/uploads/sites/2/2022/04/Value-Based-Commissioning-PolicyV1.4-2.pdf"/>
      </x:ext>
    </extLst>
  </threadedComment>
  <threadedComment ref="AK160" dT="2025-06-26T21:06:44.05" personId="{95736710-EFA0-493C-AAE5-6E4C07E0F9AD}" id="{3468945B-37E6-4507-922B-945C7E90BBF6}">
    <text>Part of “2.16 Surgery for female genital prolapse4 ” - tick https://www.selondonics.org/wp-content/uploads/dlm_uploads/SEL-Treatment-Access-Policy-July-2024-v1.pdf</text>
    <extLst>
      <x:ext xmlns:xltc2="http://schemas.microsoft.com/office/spreadsheetml/2020/threadedcomments2" uri="{F7C98A9C-CBB3-438F-8F68-D28B6AF4A901}">
        <xltc2:checksum>2766710905</xltc2:checksum>
        <xltc2:hyperlink startIndex="60" length="103" url="https://www.selondonics.org/wp-content/uploads/dlm_uploads/SEL-Treatment-Access-Policy-July-2024-v1.pdf"/>
      </x:ext>
    </extLst>
  </threadedComment>
  <threadedComment ref="J161" dT="2025-06-18T09:47:29.59" personId="{95736710-EFA0-493C-AAE5-6E4C07E0F9AD}" id="{D2E969FE-448B-4C6F-830F-A72ACA17F1F2}">
    <text>Should be a tick https://www.cheshireandmerseyside.nhs.uk/media/yvujqken/pol-clin106-malesterilisation-final-v05.pdf</text>
    <extLst>
      <x:ext xmlns:xltc2="http://schemas.microsoft.com/office/spreadsheetml/2020/threadedcomments2" uri="{F7C98A9C-CBB3-438F-8F68-D28B6AF4A901}">
        <xltc2:checksum>1637248731</xltc2:checksum>
        <xltc2:hyperlink startIndex="17" length="99" url="https://www.cheshireandmerseyside.nhs.uk/media/yvujqken/pol-clin106-malesterilisation-final-v05.pdf"/>
      </x:ext>
    </extLst>
  </threadedComment>
  <threadedComment ref="T161" dT="2025-06-22T19:28:03.22" personId="{95736710-EFA0-493C-AAE5-6E4C07E0F9AD}" id="{785B12B3-8927-4FA8-8592-C7ABCBEADDC6}">
    <text>Cannot find ref</text>
  </threadedComment>
  <threadedComment ref="V161" dT="2025-06-22T21:51:44.18" personId="{95736710-EFA0-493C-AAE5-6E4C07E0F9AD}" id="{121EBC08-4361-4653-BA4D-04BBBB5648BD}">
    <text>Tick https://humberandnorthyorkshire.icb.nhs.uk/wp-content/uploads/2025/02/037-Vasectomy.docx</text>
    <extLst>
      <x:ext xmlns:xltc2="http://schemas.microsoft.com/office/spreadsheetml/2020/threadedcomments2" uri="{F7C98A9C-CBB3-438F-8F68-D28B6AF4A901}">
        <xltc2:checksum>3276901297</xltc2:checksum>
        <xltc2:hyperlink startIndex="5" length="88" url="https://humberandnorthyorkshire.icb.nhs.uk/wp-content/uploads/2025/02/037-Vasectomy.docx"/>
      </x:ext>
    </extLst>
  </threadedComment>
  <threadedComment ref="F162" dT="2025-06-13T10:37:28.89" personId="{95736710-EFA0-493C-AAE5-6E4C07E0F9AD}" id="{8EAB8AD1-14B2-4995-A0E5-4BF551D6DD37}">
    <text xml:space="preserve">EBI Vertebral augmentation for painful Osteoporotic vertebral fractures
A procedure which involves the injection of bone cement into a spinal fracture via a needle inserted through the skin, using camera guidance. The procedure aims to increase stability and strengthen the bone, also reducing pain and further collapse. https://blackcountry.icb.nhs.uk/have-your-say/get-involved/current-consultations-and-engagement/clinical-policy-review2
</text>
    <extLst>
      <x:ext xmlns:xltc2="http://schemas.microsoft.com/office/spreadsheetml/2020/threadedcomments2" uri="{F7C98A9C-CBB3-438F-8F68-D28B6AF4A901}">
        <xltc2:checksum>3950975860</xltc2:checksum>
        <xltc2:hyperlink startIndex="321" length="119" url="https://blackcountry.icb.nhs.uk/have-your-say/get-involved/current-consultations-and-engagement/clinical-policy-review2"/>
      </x:ext>
    </extLst>
  </threadedComment>
  <threadedComment ref="K162" dT="2025-06-18T11:20:29.55" personId="{95736710-EFA0-493C-AAE5-6E4C07E0F9AD}" id="{0E469FE4-E92E-49FC-9FF6-FF36EE1F2DD0}">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T162" dT="2025-06-22T18:16:13.50" personId="{95736710-EFA0-493C-AAE5-6E4C07E0F9AD}" id="{9E4A0177-3C50-42F7-BC9E-009EAEFF8754}">
    <text>Tick https://www.hwics.org.uk/application/files/2117/0904/4510/ICB_MSK_Surgery_and_Therapy_V1.5_Final_6.pdf</text>
    <extLst>
      <x:ext xmlns:xltc2="http://schemas.microsoft.com/office/spreadsheetml/2020/threadedcomments2" uri="{F7C98A9C-CBB3-438F-8F68-D28B6AF4A901}">
        <xltc2:checksum>2239867529</xltc2:checksum>
        <xltc2:hyperlink startIndex="5" length="102" url="https://www.hwics.org.uk/application/files/2117/0904/4510/ICB_MSK_Surgery_and_Therapy_V1.5_Final_6.pdf"/>
      </x:ext>
    </extLst>
  </threadedComment>
  <threadedComment ref="U162" dT="2025-06-22T20:44:32.34" personId="{95736710-EFA0-493C-AAE5-6E4C07E0F9AD}" id="{A623D9B1-0F7D-490F-9517-176A8C866C93}">
    <text>Described as EBI https://www.hweclinicalguidance.nhs.uk/all-clinical-areas-documents/search-results/epidural-injections-and-therapeutic-nerve-blocks-for-lumbar-or-sacral-radiculopathy/</text>
    <extLst>
      <x:ext xmlns:xltc2="http://schemas.microsoft.com/office/spreadsheetml/2020/threadedcomments2" uri="{F7C98A9C-CBB3-438F-8F68-D28B6AF4A901}">
        <xltc2:checksum>1000187662</xltc2:checksum>
        <xltc2:hyperlink startIndex="17" length="167" url="https://www.hweclinicalguidance.nhs.uk/all-clinical-areas-documents/search-results/epidural-injections-and-therapeutic-nerve-blocks-for-lumbar-or-sacral-radiculopathy/"/>
      </x:ext>
    </extLst>
  </threadedComment>
  <threadedComment ref="V162" dT="2025-06-22T21:55:55.37" personId="{95736710-EFA0-493C-AAE5-6E4C07E0F9AD}" id="{FD3879D7-541A-4034-B071-EE08B712D6CA}">
    <text xml:space="preserve">Policy under review https://humberandnorthyorkshire.icb.nhs.uk/documents-and-publications/commissioning-policies-2/
</text>
    <extLst>
      <x:ext xmlns:xltc2="http://schemas.microsoft.com/office/spreadsheetml/2020/threadedcomments2" uri="{F7C98A9C-CBB3-438F-8F68-D28B6AF4A901}">
        <xltc2:checksum>3395697436</xltc2:checksum>
        <xltc2:hyperlink startIndex="20" length="95" url="https://humberandnorthyorkshire.icb.nhs.uk/documents-and-publications/commissioning-policies-2/"/>
      </x:ext>
    </extLst>
  </threadedComment>
  <threadedComment ref="AM162" dT="2025-06-26T23:10:24.56" personId="{95736710-EFA0-493C-AAE5-6E4C07E0F9AD}" id="{8B7DCB58-CEC0-445E-9D00-10DF2FD9ACB6}">
    <text>Vertebral Augmentation (vertebroplasty or kyphoplasty) for Painful Osteoporotic Vertebral Fractures https://staffsstoke.icb.nhs.uk/your-nhs-integrated-care-board/our-publications/governance-handbook/all-policies/commissioning/icb-excluded-and-restricted-procedures-policy-v3-1/?layout=file</text>
    <extLst>
      <x:ext xmlns:xltc2="http://schemas.microsoft.com/office/spreadsheetml/2020/threadedcomments2" uri="{F7C98A9C-CBB3-438F-8F68-D28B6AF4A901}">
        <xltc2:checksum>3697611934</xltc2:checksum>
        <xltc2:hyperlink startIndex="100" length="189" url="https://staffsstoke.icb.nhs.uk/your-nhs-integrated-care-board/our-publications/governance-handbook/all-policies/commissioning/icb-excluded-and-restricted-procedures-policy-v3-1/?layout=file"/>
      </x:ext>
    </extLst>
  </threadedComment>
  <threadedComment ref="AM162" dT="2025-06-26T23:10:31.37" personId="{95736710-EFA0-493C-AAE5-6E4C07E0F9AD}" id="{D2C8C58E-04C8-45BE-93B6-74282EB80EE2}" parentId="{8B7DCB58-CEC0-445E-9D00-10DF2FD9ACB6}">
    <text xml:space="preserve">Tick </text>
  </threadedComment>
  <threadedComment ref="Q163" dT="2025-06-18T16:57:15.64" personId="{95736710-EFA0-493C-AAE5-6E4C07E0F9AD}" id="{2AD4BFAB-05C8-4DEF-9EF4-EE21397A43F3}">
    <text>Cannot find</text>
  </threadedComment>
  <threadedComment ref="F164" dT="2025-06-13T10:38:35.91" personId="{95736710-EFA0-493C-AAE5-6E4C07E0F9AD}" id="{80C88EFB-EE69-4EB4-AFC3-2CC3C8D26F62}">
    <text>Pre-operative chest x-ray
A quick and painless procedure commonly used to produce images of the inside of the chest before surgery.
https://blackcountry.icb.nhs.uk/have-your-say/get-involved/current-consultations-and-engagement/clinical-policy-review2 EBI</text>
    <extLst>
      <x:ext xmlns:xltc2="http://schemas.microsoft.com/office/spreadsheetml/2020/threadedcomments2" uri="{F7C98A9C-CBB3-438F-8F68-D28B6AF4A901}">
        <xltc2:checksum>4211862853</xltc2:checksum>
        <xltc2:hyperlink startIndex="132" length="119" url="https://blackcountry.icb.nhs.uk/have-your-say/get-involved/current-consultations-and-engagement/clinical-policy-review2"/>
      </x:ext>
    </extLst>
  </threadedComment>
  <threadedComment ref="K164" dT="2025-06-18T11:21:05.08" personId="{95736710-EFA0-493C-AAE5-6E4C07E0F9AD}" id="{20C91C78-48EE-475B-B116-5241E45E951E}">
    <text>Tick https://docs.cios.icb.nhs.uk/DocumentsLibrary/NHSCornwallAndIslesOfScilly/Services/IndividualFundingRequests/CommissioningPolicies.pdf</text>
    <extLst>
      <x:ext xmlns:xltc2="http://schemas.microsoft.com/office/spreadsheetml/2020/threadedcomments2" uri="{F7C98A9C-CBB3-438F-8F68-D28B6AF4A901}">
        <xltc2:checksum>1509048767</xltc2:checksum>
        <xltc2:hyperlink startIndex="5" length="134" url="https://docs.cios.icb.nhs.uk/DocumentsLibrary/NHSCornwallAndIslesOfScilly/Services/IndividualFundingRequests/CommissioningPolicies.pdf"/>
      </x:ext>
    </extLst>
  </threadedComment>
  <threadedComment ref="T164" dT="2025-06-22T17:54:18.65" personId="{95736710-EFA0-493C-AAE5-6E4C07E0F9AD}" id="{58CB8FC5-E71F-4CD4-85E8-668FC3B60AEC}">
    <text>https://www.hwics.org.uk/application/files/8217/4117/1631/ICB_Pre-op_Chest_X-ray__ECG_Position_Statement_v1.2_final.pdf tick</text>
    <extLst>
      <x:ext xmlns:xltc2="http://schemas.microsoft.com/office/spreadsheetml/2020/threadedcomments2" uri="{F7C98A9C-CBB3-438F-8F68-D28B6AF4A901}">
        <xltc2:checksum>2492678871</xltc2:checksum>
        <xltc2:hyperlink startIndex="0" length="119" url="https://www.hwics.org.uk/application/files/8217/4117/1631/ICB_Pre-op_Chest_X-ray__ECG_Position_Statement_v1.2_final.pdf"/>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3" Type="http://schemas.openxmlformats.org/officeDocument/2006/relationships/hyperlink" Target="https://gbr01.safelinks.protection.outlook.com/?url=https%3A%2F%2Fnhsgmgmicbsa.blob.core.windows.net%2Fnhsgmgmicbblobstorage%2FGMEUR%2FCommissioning%2520Statements%2FGM%2520Commissioning%2520Statements%2520descriptions.pdf&amp;data=05%7C02%7Cgmhscp.digital%40nhs.net%7C8f91a1c6abfa4e3c3d4808dd571b45e0%7C37c354b285b047f5b22207b48d774ee3%7C0%7C0%7C638762497361557619%7CUnknown%7CTWFpbGZsb3d8eyJFbXB0eU1hcGkiOnRydWUsIlYiOiIwLjAuMDAwMCIsIlAiOiJXaW4zMiIsIkFOIjoiTWFpbCIsIldUIjoyfQ%3D%3D%7C0%7C%7C%7C&amp;sdata=YXtMO%2BPvHKSkHmka%2B751TURYCGubw%2F63STFEweuf2vc%3D&amp;reserved=0" TargetMode="External"/><Relationship Id="rId18" Type="http://schemas.openxmlformats.org/officeDocument/2006/relationships/hyperlink" Target="https://leicesterleicestershireandrutland.icb.nhs.uk/your-health/healthcare-and-treatment-policies/" TargetMode="External"/><Relationship Id="rId26" Type="http://schemas.openxmlformats.org/officeDocument/2006/relationships/hyperlink" Target="https://www.icnorthamptonshire.org.uk/documents?media_folder=2069&amp;root_folder=Prior%20Approvals%20-%20ICB" TargetMode="External"/><Relationship Id="rId39" Type="http://schemas.openxmlformats.org/officeDocument/2006/relationships/hyperlink" Target="https://fundingrequests.scwcsu.nhs.uk/hampshire-and-isle-of-wight-icb/policies-and-application-forms-hampshire-and-isle-of-wight/" TargetMode="External"/><Relationship Id="rId21" Type="http://schemas.openxmlformats.org/officeDocument/2006/relationships/hyperlink" Target="https://nwknowledgenow.nhs.uk/content-category/clinical-threshold-policies-and-ifr-drugs-and-non-drugs/" TargetMode="External"/><Relationship Id="rId34" Type="http://schemas.openxmlformats.org/officeDocument/2006/relationships/hyperlink" Target="https://www.surreyheartlands.org/search?term=IFR&amp;search=Search&amp;searchType=all" TargetMode="External"/><Relationship Id="rId42" Type="http://schemas.openxmlformats.org/officeDocument/2006/relationships/hyperlink" Target="https://blackcountry.icb.nhs.uk/have-your-say/get-involved/current-consultations-and-engagement/clinical-policy-review2" TargetMode="External"/><Relationship Id="rId47" Type="http://schemas.openxmlformats.org/officeDocument/2006/relationships/hyperlink" Target="https://www.nhsglos.nhs.uk/your-health-services/funding-treatment/individual-funding-requests/effective-clinical-commissioning-policy-list/" TargetMode="External"/><Relationship Id="rId50" Type="http://schemas.openxmlformats.org/officeDocument/2006/relationships/hyperlink" Target="https://www.surreyheartlands.org/treatments-not-routinely-funded-two" TargetMode="External"/><Relationship Id="rId7" Type="http://schemas.openxmlformats.org/officeDocument/2006/relationships/hyperlink" Target="https://www.cheshireandmerseyside.nhs.uk/your-health/clinical-policies/" TargetMode="External"/><Relationship Id="rId2" Type="http://schemas.openxmlformats.org/officeDocument/2006/relationships/hyperlink" Target="https://bsw.icb.nhs.uk/documents-and-reports/" TargetMode="External"/><Relationship Id="rId16" Type="http://schemas.openxmlformats.org/officeDocument/2006/relationships/hyperlink" Target="https://www.kentandmedway.icb.nhs.uk/application/files/9817/1292/6708/KM_RaTC_April_2024.pdf" TargetMode="External"/><Relationship Id="rId29" Type="http://schemas.openxmlformats.org/officeDocument/2006/relationships/hyperlink" Target="https://nhssomerset.nhs.uk/evidence-based-interventions/" TargetMode="External"/><Relationship Id="rId11" Type="http://schemas.openxmlformats.org/officeDocument/2006/relationships/hyperlink" Target="https://nhsdorset.nhs.uk/about/policies/" TargetMode="External"/><Relationship Id="rId24" Type="http://schemas.openxmlformats.org/officeDocument/2006/relationships/hyperlink" Target="https://primarycare.northeastlondon.icb.nhs.uk/wp-content/uploads/2024/05/NEL-EBI-Policy-Version-2.2-Final.pdf" TargetMode="External"/><Relationship Id="rId32" Type="http://schemas.openxmlformats.org/officeDocument/2006/relationships/hyperlink" Target="https://staffsstoke.icb.nhs.uk/your-nhs-integrated-care-board/our-publications/governance-handbook/all-policies/commissioning/icb-excluded-and-restricted-procedures-policy-v3-1/?layout=file" TargetMode="External"/><Relationship Id="rId37" Type="http://schemas.openxmlformats.org/officeDocument/2006/relationships/hyperlink" Target="https://www.hweclinicalguidance.nhs.uk/clinical-policies-group-evidence-based-interventions" TargetMode="External"/><Relationship Id="rId40" Type="http://schemas.openxmlformats.org/officeDocument/2006/relationships/hyperlink" Target="https://bsw.icb.nhs.uk/your-health/what-we-do-and-dont-fund/" TargetMode="External"/><Relationship Id="rId45" Type="http://schemas.openxmlformats.org/officeDocument/2006/relationships/hyperlink" Target="https://www.cpics.org.uk/clinical-policies" TargetMode="External"/><Relationship Id="rId5" Type="http://schemas.openxmlformats.org/officeDocument/2006/relationships/hyperlink" Target="https://bnssg.icb.nhs.uk/library/" TargetMode="External"/><Relationship Id="rId15" Type="http://schemas.openxmlformats.org/officeDocument/2006/relationships/hyperlink" Target="https://humberandnorthyorkshire.icb.nhs.uk/documents-and-publications/commissioning-policies-2/" TargetMode="External"/><Relationship Id="rId23" Type="http://schemas.openxmlformats.org/officeDocument/2006/relationships/hyperlink" Target="https://northeastnorthcumbria.nhs.uk/media/rbqd4v24/icp040-value-based-clinical-commissioning-policy-v13-0.pdf" TargetMode="External"/><Relationship Id="rId28" Type="http://schemas.openxmlformats.org/officeDocument/2006/relationships/hyperlink" Target="https://www.shropshiretelfordandwrekin.nhs.uk/wp-content/uploads/20240314-VBC-Policy-v5-Final.pdf" TargetMode="External"/><Relationship Id="rId36" Type="http://schemas.openxmlformats.org/officeDocument/2006/relationships/hyperlink" Target="https://www.westyorkshire.icb.nhs.uk/documents/commissioning-policies" TargetMode="External"/><Relationship Id="rId49" Type="http://schemas.openxmlformats.org/officeDocument/2006/relationships/hyperlink" Target="https://northeastnorthcumbria.nhs.uk/media/dimlerzs/value-based-clinical-commissioning-policy.pdf" TargetMode="External"/><Relationship Id="rId10" Type="http://schemas.openxmlformats.org/officeDocument/2006/relationships/hyperlink" Target="https://onedevon.org.uk/downloads/clinical-commissioning-policies/" TargetMode="External"/><Relationship Id="rId19" Type="http://schemas.openxmlformats.org/officeDocument/2006/relationships/hyperlink" Target="https://lincolnshire.icb.nhs.uk/~documents/icb-publications/our-policies-and-procedures/clinical-governance/cg-003-prior-approval-policy/?layout=file" TargetMode="External"/><Relationship Id="rId31" Type="http://schemas.openxmlformats.org/officeDocument/2006/relationships/hyperlink" Target="https://syics.co.uk/application/files/5916/8017/2095/FINAL_EBI_CFO_v.24_Final_27_March_2023.pdf" TargetMode="External"/><Relationship Id="rId44" Type="http://schemas.openxmlformats.org/officeDocument/2006/relationships/hyperlink" Target="https://blackcountry.icb.nhs.uk/have-your-say/get-involved/current-consultations-and-engagement/clinical-policy-review4" TargetMode="External"/><Relationship Id="rId4" Type="http://schemas.openxmlformats.org/officeDocument/2006/relationships/hyperlink" Target="https://www.birminghamsolihull.icb.nhs.uk/health-information-and-advice/policies" TargetMode="External"/><Relationship Id="rId9" Type="http://schemas.openxmlformats.org/officeDocument/2006/relationships/hyperlink" Target="https://www.happyhealthylives.uk/document-library/?category_id=8" TargetMode="External"/><Relationship Id="rId14" Type="http://schemas.openxmlformats.org/officeDocument/2006/relationships/hyperlink" Target="https://herefordshireandworcestershire.icb.nhs.uk/documents/clinical-and-prescribing-policies-guidance-and-pathways" TargetMode="External"/><Relationship Id="rId22" Type="http://schemas.openxmlformats.org/officeDocument/2006/relationships/hyperlink" Target="https://nclhealthandcare.org.uk/wp-content/uploads/2024/02/NCL-EBICS-Policy-v9.2-2.pdf" TargetMode="External"/><Relationship Id="rId27" Type="http://schemas.openxmlformats.org/officeDocument/2006/relationships/hyperlink" Target="https://notts.icb.nhs.uk/wp-content/uploads/sites/2/2022/04/Value-Based-Commissioning-PolicyV1.4-2.pdf" TargetMode="External"/><Relationship Id="rId30" Type="http://schemas.openxmlformats.org/officeDocument/2006/relationships/hyperlink" Target="https://www.selondonics.org/wp-content/uploads/dlm_uploads/SEL-Treatment-Access-Policy-July-2024-v1.pdf" TargetMode="External"/><Relationship Id="rId35" Type="http://schemas.openxmlformats.org/officeDocument/2006/relationships/hyperlink" Target="https://int.sussex.ics.nhs.uk/clinical_documents/sussex-cec-clinical-policy/" TargetMode="External"/><Relationship Id="rId43" Type="http://schemas.openxmlformats.org/officeDocument/2006/relationships/hyperlink" Target="https://blackcountry.icb.nhs.uk/have-your-say/get-involved/current-consultations-and-engagement/clinical-policy-review3" TargetMode="External"/><Relationship Id="rId48" Type="http://schemas.openxmlformats.org/officeDocument/2006/relationships/hyperlink" Target="https://www.lancashireandsouthcumbria.icb.nhs.uk/our-work/commissioning-policies/reviewed-clinical-policy" TargetMode="External"/><Relationship Id="rId8" Type="http://schemas.openxmlformats.org/officeDocument/2006/relationships/hyperlink" Target="https://cios.icb.nhs.uk/health/treatment-policies/" TargetMode="External"/><Relationship Id="rId51" Type="http://schemas.openxmlformats.org/officeDocument/2006/relationships/hyperlink" Target="https://www.surreyheartlands.org/treatments-not-routinely-funded-procedures-one" TargetMode="External"/><Relationship Id="rId3" Type="http://schemas.openxmlformats.org/officeDocument/2006/relationships/hyperlink" Target="https://bedfordshirelutonandmiltonkeynes.icb.nhs.uk/what-we-do/individual-funding-requests/evidence-based-intervention-policies-2/" TargetMode="External"/><Relationship Id="rId12" Type="http://schemas.openxmlformats.org/officeDocument/2006/relationships/hyperlink" Target="https://www.nhsglos.nhs.uk/your-health-services/funding-treatment/individual-funding-requests/" TargetMode="External"/><Relationship Id="rId17" Type="http://schemas.openxmlformats.org/officeDocument/2006/relationships/hyperlink" Target="https://www.lancashireandsouthcumbria.icb.nhs.uk/our-work/commissioning-policies" TargetMode="External"/><Relationship Id="rId25" Type="http://schemas.openxmlformats.org/officeDocument/2006/relationships/hyperlink" Target="https://www.nwlondonicb.nhs.uk/professionals/planned-procedure-threshold" TargetMode="External"/><Relationship Id="rId33" Type="http://schemas.openxmlformats.org/officeDocument/2006/relationships/hyperlink" Target="https://suffolkandnortheastessex.icb.nhs.uk/about-us/our-policies/" TargetMode="External"/><Relationship Id="rId38" Type="http://schemas.openxmlformats.org/officeDocument/2006/relationships/hyperlink" Target="https://www.derbyshiremedicinesmanagement.nhs.uk/clinical-policies-home/clinical-policies" TargetMode="External"/><Relationship Id="rId46" Type="http://schemas.openxmlformats.org/officeDocument/2006/relationships/hyperlink" Target="https://fundingrequests.scwcsu.nhs.uk/policies-and-application-forms-frimley/" TargetMode="External"/><Relationship Id="rId20" Type="http://schemas.openxmlformats.org/officeDocument/2006/relationships/hyperlink" Target="https://www.midandsouthessex.ics.nhs.uk/publications/?publications_category=service-restriction-policy-srp&amp;date_from=" TargetMode="External"/><Relationship Id="rId41" Type="http://schemas.openxmlformats.org/officeDocument/2006/relationships/hyperlink" Target="https://blackcountry.icb.nhs.uk/have-your-say/get-involved/current-consultations-and-engagement/clinical-policy-harmonisation1" TargetMode="External"/><Relationship Id="rId1" Type="http://schemas.openxmlformats.org/officeDocument/2006/relationships/hyperlink" Target="https://www.southwestlondon.icb.nhs.uk/wp-content/uploads/2022/07/NHS-South-West-London-evidence-based-interventions-policy-4.1.pdf" TargetMode="External"/><Relationship Id="rId6" Type="http://schemas.openxmlformats.org/officeDocument/2006/relationships/hyperlink" Target="https://www.bucksoxonberksw.icb.nhs.uk/your-health/clinical-commissioning-policy-statements-ifr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8596E-0BB3-405D-B4B5-F54AC43E1C40}">
  <sheetPr>
    <tabColor rgb="FFFFFF00"/>
  </sheetPr>
  <dimension ref="A1:AW217"/>
  <sheetViews>
    <sheetView topLeftCell="A78" zoomScale="72" zoomScaleNormal="72" workbookViewId="0">
      <pane xSplit="1" topLeftCell="B1" activePane="topRight" state="frozen"/>
      <selection pane="topRight" activeCell="A162" sqref="A162"/>
    </sheetView>
  </sheetViews>
  <sheetFormatPr defaultRowHeight="14.5" x14ac:dyDescent="0.35"/>
  <cols>
    <col min="1" max="1" width="51.81640625" customWidth="1"/>
    <col min="2" max="2" width="49.54296875" customWidth="1"/>
    <col min="3" max="3" width="47.1796875" customWidth="1"/>
    <col min="4" max="4" width="39.1796875" customWidth="1"/>
    <col min="5" max="5" width="36.81640625" customWidth="1"/>
    <col min="6" max="6" width="40.54296875" customWidth="1"/>
    <col min="7" max="7" width="29.453125" customWidth="1"/>
    <col min="8" max="8" width="34.54296875" customWidth="1"/>
    <col min="9" max="9" width="36.54296875" customWidth="1"/>
    <col min="10" max="10" width="23.1796875" customWidth="1"/>
    <col min="11" max="11" width="27.90625" customWidth="1"/>
    <col min="12" max="12" width="24.90625" customWidth="1"/>
    <col min="13" max="13" width="31.1796875" customWidth="1"/>
    <col min="14" max="14" width="33.81640625" customWidth="1"/>
    <col min="15" max="15" width="34.1796875" customWidth="1"/>
    <col min="16" max="16" width="34.453125" customWidth="1"/>
    <col min="17" max="17" width="33.08984375" customWidth="1"/>
    <col min="18" max="18" width="46.1796875" customWidth="1"/>
    <col min="19" max="19" width="52.81640625" customWidth="1"/>
    <col min="20" max="20" width="31.1796875" customWidth="1"/>
    <col min="21" max="21" width="35.81640625" customWidth="1"/>
    <col min="22" max="22" width="26" customWidth="1"/>
    <col min="23" max="23" width="27.36328125" customWidth="1"/>
    <col min="24" max="24" width="39.1796875" customWidth="1"/>
    <col min="25" max="25" width="32" customWidth="1"/>
    <col min="26" max="26" width="30.90625" customWidth="1"/>
    <col min="27" max="27" width="29.1796875" customWidth="1"/>
    <col min="28" max="28" width="25.81640625" customWidth="1"/>
    <col min="29" max="29" width="29.1796875" customWidth="1"/>
    <col min="30" max="30" width="25.54296875" style="12" customWidth="1"/>
    <col min="31" max="31" width="34.36328125" customWidth="1"/>
    <col min="32" max="32" width="27.81640625" customWidth="1"/>
    <col min="33" max="33" width="30.453125" customWidth="1"/>
    <col min="34" max="34" width="31.1796875" customWidth="1"/>
    <col min="35" max="35" width="23.6328125" customWidth="1"/>
    <col min="36" max="36" width="26.90625" customWidth="1"/>
    <col min="37" max="37" width="28.1796875" customWidth="1"/>
    <col min="38" max="38" width="24.6328125" customWidth="1"/>
    <col min="39" max="40" width="29.81640625" customWidth="1"/>
    <col min="41" max="41" width="30.81640625" customWidth="1"/>
    <col min="42" max="42" width="24.81640625" customWidth="1"/>
    <col min="43" max="43" width="26.36328125" customWidth="1"/>
    <col min="44" max="44" width="14.1796875" customWidth="1"/>
    <col min="45" max="45" width="18.1796875" customWidth="1"/>
    <col min="46" max="46" width="12" customWidth="1"/>
    <col min="47" max="47" width="29.453125" customWidth="1"/>
    <col min="48" max="48" width="16" customWidth="1"/>
  </cols>
  <sheetData>
    <row r="1" spans="1:4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3" t="s">
        <v>45</v>
      </c>
      <c r="AU1" s="4" t="s">
        <v>46</v>
      </c>
      <c r="AV1" s="4" t="s">
        <v>47</v>
      </c>
      <c r="AW1" s="4" t="s">
        <v>48</v>
      </c>
    </row>
    <row r="2" spans="1:49" x14ac:dyDescent="0.35">
      <c r="A2" s="5" t="s">
        <v>49</v>
      </c>
      <c r="B2" s="16" t="s">
        <v>50</v>
      </c>
      <c r="C2" s="16" t="s">
        <v>50</v>
      </c>
      <c r="D2" s="16" t="s">
        <v>50</v>
      </c>
      <c r="E2" s="16" t="s">
        <v>50</v>
      </c>
      <c r="F2" s="16" t="s">
        <v>51</v>
      </c>
      <c r="G2" s="16" t="s">
        <v>50</v>
      </c>
      <c r="H2" s="16" t="s">
        <v>51</v>
      </c>
      <c r="I2" s="16" t="s">
        <v>50</v>
      </c>
      <c r="J2" s="16" t="s">
        <v>51</v>
      </c>
      <c r="K2" s="26" t="s">
        <v>51</v>
      </c>
      <c r="L2" s="16" t="s">
        <v>50</v>
      </c>
      <c r="M2" s="16" t="s">
        <v>50</v>
      </c>
      <c r="N2" s="16" t="s">
        <v>50</v>
      </c>
      <c r="O2" s="16" t="s">
        <v>50</v>
      </c>
      <c r="P2" s="16" t="s">
        <v>51</v>
      </c>
      <c r="Q2" s="16" t="s">
        <v>50</v>
      </c>
      <c r="R2" s="16" t="s">
        <v>50</v>
      </c>
      <c r="S2" s="16" t="s">
        <v>50</v>
      </c>
      <c r="T2" s="16" t="s">
        <v>50</v>
      </c>
      <c r="U2" s="16" t="s">
        <v>50</v>
      </c>
      <c r="V2" s="26" t="s">
        <v>50</v>
      </c>
      <c r="W2" s="16" t="s">
        <v>50</v>
      </c>
      <c r="X2" s="16" t="s">
        <v>50</v>
      </c>
      <c r="Y2" s="16" t="s">
        <v>50</v>
      </c>
      <c r="Z2" s="16" t="s">
        <v>50</v>
      </c>
      <c r="AA2" s="16" t="s">
        <v>50</v>
      </c>
      <c r="AB2" s="18" t="s">
        <v>53</v>
      </c>
      <c r="AC2" s="16" t="s">
        <v>50</v>
      </c>
      <c r="AD2" s="21" t="s">
        <v>50</v>
      </c>
      <c r="AE2" s="16" t="s">
        <v>50</v>
      </c>
      <c r="AF2" s="16" t="s">
        <v>50</v>
      </c>
      <c r="AG2" s="16" t="s">
        <v>50</v>
      </c>
      <c r="AH2" s="16" t="s">
        <v>50</v>
      </c>
      <c r="AI2" s="26" t="s">
        <v>51</v>
      </c>
      <c r="AJ2" s="16" t="s">
        <v>50</v>
      </c>
      <c r="AK2" s="16" t="s">
        <v>50</v>
      </c>
      <c r="AL2" s="16" t="s">
        <v>50</v>
      </c>
      <c r="AM2" s="27" t="s">
        <v>53</v>
      </c>
      <c r="AN2" s="16" t="s">
        <v>50</v>
      </c>
      <c r="AO2" s="16" t="s">
        <v>50</v>
      </c>
      <c r="AP2" s="16" t="s">
        <v>50</v>
      </c>
      <c r="AQ2" s="16" t="s">
        <v>50</v>
      </c>
      <c r="AR2" s="5">
        <f t="shared" ref="AR2:AR65" si="0">COUNTIF(B2:AQ2, "ü")</f>
        <v>2</v>
      </c>
      <c r="AS2" s="5">
        <f t="shared" ref="AS2:AS65" si="1">COUNTIF(B2:AQ2, "IFR")</f>
        <v>6</v>
      </c>
      <c r="AT2" s="5">
        <f t="shared" ref="AT2:AT65" si="2">COUNTIF(B2:AQ2, "N/A")</f>
        <v>34</v>
      </c>
      <c r="AU2">
        <f t="shared" ref="AU2:AU65" si="3">COUNTIF(B2:AQ2, "National EBI Guidance")</f>
        <v>0</v>
      </c>
      <c r="AV2">
        <f t="shared" ref="AV2:AV65" si="4">COUNTIF(B2:AQ2, "Policy under review")</f>
        <v>0</v>
      </c>
      <c r="AW2">
        <f t="shared" ref="AW2:AW13" si="5">SUM(AR2:AV2)</f>
        <v>42</v>
      </c>
    </row>
    <row r="3" spans="1:49" x14ac:dyDescent="0.35">
      <c r="A3" s="5" t="s">
        <v>54</v>
      </c>
      <c r="B3" s="16" t="s">
        <v>50</v>
      </c>
      <c r="C3" s="27" t="s">
        <v>53</v>
      </c>
      <c r="D3" s="27" t="s">
        <v>53</v>
      </c>
      <c r="E3" s="18" t="s">
        <v>53</v>
      </c>
      <c r="F3" s="18" t="s">
        <v>53</v>
      </c>
      <c r="G3" s="18" t="s">
        <v>53</v>
      </c>
      <c r="H3" s="16" t="s">
        <v>50</v>
      </c>
      <c r="I3" s="18" t="s">
        <v>53</v>
      </c>
      <c r="J3" s="18" t="s">
        <v>53</v>
      </c>
      <c r="K3" s="18" t="s">
        <v>53</v>
      </c>
      <c r="L3" s="27" t="s">
        <v>53</v>
      </c>
      <c r="M3" s="18" t="s">
        <v>53</v>
      </c>
      <c r="N3" s="27" t="s">
        <v>53</v>
      </c>
      <c r="O3" s="18" t="s">
        <v>53</v>
      </c>
      <c r="P3" s="16" t="s">
        <v>50</v>
      </c>
      <c r="Q3" s="16" t="s">
        <v>50</v>
      </c>
      <c r="R3" s="18" t="s">
        <v>53</v>
      </c>
      <c r="S3" s="31" t="s">
        <v>53</v>
      </c>
      <c r="T3" s="18" t="s">
        <v>53</v>
      </c>
      <c r="U3" s="18" t="s">
        <v>53</v>
      </c>
      <c r="V3" s="26" t="s">
        <v>52</v>
      </c>
      <c r="W3" s="18" t="s">
        <v>53</v>
      </c>
      <c r="X3" s="18" t="s">
        <v>53</v>
      </c>
      <c r="Y3" s="18" t="s">
        <v>53</v>
      </c>
      <c r="Z3" s="18" t="s">
        <v>53</v>
      </c>
      <c r="AA3" s="18" t="s">
        <v>53</v>
      </c>
      <c r="AB3" s="27" t="s">
        <v>53</v>
      </c>
      <c r="AC3" s="18" t="s">
        <v>53</v>
      </c>
      <c r="AD3" s="18" t="s">
        <v>53</v>
      </c>
      <c r="AE3" s="16" t="s">
        <v>52</v>
      </c>
      <c r="AF3" s="16" t="s">
        <v>50</v>
      </c>
      <c r="AG3" s="16" t="s">
        <v>50</v>
      </c>
      <c r="AH3" s="18" t="s">
        <v>53</v>
      </c>
      <c r="AI3" s="18" t="s">
        <v>53</v>
      </c>
      <c r="AJ3" s="18" t="s">
        <v>53</v>
      </c>
      <c r="AK3" s="18" t="s">
        <v>53</v>
      </c>
      <c r="AL3" s="18" t="s">
        <v>53</v>
      </c>
      <c r="AM3" s="18" t="s">
        <v>53</v>
      </c>
      <c r="AN3" s="18" t="s">
        <v>53</v>
      </c>
      <c r="AO3" s="18" t="s">
        <v>53</v>
      </c>
      <c r="AP3" s="16" t="s">
        <v>50</v>
      </c>
      <c r="AQ3" s="16" t="s">
        <v>50</v>
      </c>
      <c r="AR3" s="6">
        <f t="shared" si="0"/>
        <v>32</v>
      </c>
      <c r="AS3" s="5">
        <f t="shared" si="1"/>
        <v>0</v>
      </c>
      <c r="AT3" s="5">
        <f t="shared" si="2"/>
        <v>8</v>
      </c>
      <c r="AU3">
        <f t="shared" si="3"/>
        <v>0</v>
      </c>
      <c r="AV3">
        <f t="shared" si="4"/>
        <v>2</v>
      </c>
      <c r="AW3">
        <f t="shared" si="5"/>
        <v>42</v>
      </c>
    </row>
    <row r="4" spans="1:49" x14ac:dyDescent="0.35">
      <c r="A4" s="5" t="s">
        <v>55</v>
      </c>
      <c r="B4" s="16" t="s">
        <v>50</v>
      </c>
      <c r="C4" s="16" t="s">
        <v>50</v>
      </c>
      <c r="D4" s="21" t="s">
        <v>50</v>
      </c>
      <c r="E4" s="16" t="s">
        <v>50</v>
      </c>
      <c r="F4" s="16" t="s">
        <v>50</v>
      </c>
      <c r="G4" s="16" t="s">
        <v>50</v>
      </c>
      <c r="H4" s="16" t="s">
        <v>50</v>
      </c>
      <c r="I4" s="16" t="s">
        <v>50</v>
      </c>
      <c r="J4" s="16" t="s">
        <v>50</v>
      </c>
      <c r="K4" s="18" t="s">
        <v>53</v>
      </c>
      <c r="L4" s="16" t="s">
        <v>50</v>
      </c>
      <c r="M4" s="16" t="s">
        <v>50</v>
      </c>
      <c r="N4" s="16" t="s">
        <v>50</v>
      </c>
      <c r="O4" s="16" t="s">
        <v>50</v>
      </c>
      <c r="P4" s="16" t="s">
        <v>50</v>
      </c>
      <c r="Q4" s="16" t="s">
        <v>50</v>
      </c>
      <c r="R4" s="16" t="s">
        <v>50</v>
      </c>
      <c r="S4" s="16" t="s">
        <v>50</v>
      </c>
      <c r="T4" s="16" t="s">
        <v>50</v>
      </c>
      <c r="U4" s="16" t="s">
        <v>50</v>
      </c>
      <c r="V4" s="16" t="s">
        <v>50</v>
      </c>
      <c r="W4" s="16" t="s">
        <v>50</v>
      </c>
      <c r="X4" s="16" t="s">
        <v>50</v>
      </c>
      <c r="Y4" s="16" t="s">
        <v>50</v>
      </c>
      <c r="Z4" s="16" t="s">
        <v>50</v>
      </c>
      <c r="AA4" s="16" t="s">
        <v>50</v>
      </c>
      <c r="AB4" s="16" t="s">
        <v>50</v>
      </c>
      <c r="AC4" s="16" t="s">
        <v>50</v>
      </c>
      <c r="AD4" s="16" t="s">
        <v>50</v>
      </c>
      <c r="AE4" s="16" t="s">
        <v>50</v>
      </c>
      <c r="AF4" s="16" t="s">
        <v>50</v>
      </c>
      <c r="AG4" s="16" t="s">
        <v>50</v>
      </c>
      <c r="AH4" s="16" t="s">
        <v>50</v>
      </c>
      <c r="AI4" s="16" t="s">
        <v>50</v>
      </c>
      <c r="AJ4" s="16" t="s">
        <v>50</v>
      </c>
      <c r="AK4" s="16" t="s">
        <v>50</v>
      </c>
      <c r="AL4" s="16" t="s">
        <v>50</v>
      </c>
      <c r="AM4" s="16" t="s">
        <v>50</v>
      </c>
      <c r="AN4" s="16" t="s">
        <v>50</v>
      </c>
      <c r="AO4" s="16" t="s">
        <v>50</v>
      </c>
      <c r="AP4" s="16" t="s">
        <v>50</v>
      </c>
      <c r="AQ4" s="16" t="s">
        <v>50</v>
      </c>
      <c r="AR4" s="6">
        <f t="shared" si="0"/>
        <v>1</v>
      </c>
      <c r="AS4" s="5">
        <f t="shared" si="1"/>
        <v>0</v>
      </c>
      <c r="AT4" s="5">
        <f t="shared" si="2"/>
        <v>41</v>
      </c>
      <c r="AU4">
        <f t="shared" si="3"/>
        <v>0</v>
      </c>
      <c r="AV4">
        <f t="shared" si="4"/>
        <v>0</v>
      </c>
      <c r="AW4">
        <f t="shared" si="5"/>
        <v>42</v>
      </c>
    </row>
    <row r="5" spans="1:49" x14ac:dyDescent="0.35">
      <c r="A5" s="5" t="s">
        <v>56</v>
      </c>
      <c r="B5" s="26" t="s">
        <v>51</v>
      </c>
      <c r="C5" s="16" t="s">
        <v>50</v>
      </c>
      <c r="D5" s="21" t="s">
        <v>50</v>
      </c>
      <c r="E5" s="16" t="s">
        <v>50</v>
      </c>
      <c r="F5" s="16" t="s">
        <v>50</v>
      </c>
      <c r="G5" s="16" t="s">
        <v>50</v>
      </c>
      <c r="H5" s="18" t="s">
        <v>53</v>
      </c>
      <c r="I5" s="16" t="s">
        <v>50</v>
      </c>
      <c r="J5" s="16" t="s">
        <v>50</v>
      </c>
      <c r="K5" s="16" t="s">
        <v>50</v>
      </c>
      <c r="L5" s="16" t="s">
        <v>50</v>
      </c>
      <c r="M5" s="16" t="s">
        <v>50</v>
      </c>
      <c r="N5" s="16" t="s">
        <v>50</v>
      </c>
      <c r="O5" s="16" t="s">
        <v>50</v>
      </c>
      <c r="P5" s="16" t="s">
        <v>50</v>
      </c>
      <c r="Q5" s="16" t="s">
        <v>50</v>
      </c>
      <c r="R5" s="16" t="s">
        <v>50</v>
      </c>
      <c r="S5" s="16" t="s">
        <v>50</v>
      </c>
      <c r="T5" s="26" t="s">
        <v>50</v>
      </c>
      <c r="U5" s="18" t="s">
        <v>53</v>
      </c>
      <c r="V5" s="16" t="s">
        <v>50</v>
      </c>
      <c r="W5" s="16" t="s">
        <v>50</v>
      </c>
      <c r="X5" s="16" t="s">
        <v>50</v>
      </c>
      <c r="Y5" s="16" t="s">
        <v>50</v>
      </c>
      <c r="Z5" s="16" t="s">
        <v>50</v>
      </c>
      <c r="AA5" s="16" t="s">
        <v>50</v>
      </c>
      <c r="AB5" s="16" t="s">
        <v>50</v>
      </c>
      <c r="AC5" s="16" t="s">
        <v>50</v>
      </c>
      <c r="AD5" s="16" t="s">
        <v>50</v>
      </c>
      <c r="AE5" s="16" t="s">
        <v>50</v>
      </c>
      <c r="AF5" s="16" t="s">
        <v>50</v>
      </c>
      <c r="AG5" s="16" t="s">
        <v>50</v>
      </c>
      <c r="AH5" s="16" t="s">
        <v>50</v>
      </c>
      <c r="AI5" s="16" t="s">
        <v>50</v>
      </c>
      <c r="AJ5" s="16" t="s">
        <v>50</v>
      </c>
      <c r="AK5" s="16" t="s">
        <v>50</v>
      </c>
      <c r="AL5" s="16" t="s">
        <v>50</v>
      </c>
      <c r="AM5" s="16" t="s">
        <v>50</v>
      </c>
      <c r="AN5" s="16" t="s">
        <v>50</v>
      </c>
      <c r="AO5" s="16" t="s">
        <v>50</v>
      </c>
      <c r="AP5" s="16" t="s">
        <v>50</v>
      </c>
      <c r="AQ5" s="16" t="s">
        <v>50</v>
      </c>
      <c r="AR5" s="6">
        <f t="shared" si="0"/>
        <v>2</v>
      </c>
      <c r="AS5" s="5">
        <f t="shared" si="1"/>
        <v>1</v>
      </c>
      <c r="AT5" s="5">
        <f t="shared" si="2"/>
        <v>39</v>
      </c>
      <c r="AU5">
        <f t="shared" si="3"/>
        <v>0</v>
      </c>
      <c r="AV5">
        <f t="shared" si="4"/>
        <v>0</v>
      </c>
      <c r="AW5">
        <f t="shared" si="5"/>
        <v>42</v>
      </c>
    </row>
    <row r="6" spans="1:49" x14ac:dyDescent="0.35">
      <c r="A6" s="5" t="s">
        <v>57</v>
      </c>
      <c r="B6" s="27" t="s">
        <v>53</v>
      </c>
      <c r="C6" s="16" t="s">
        <v>50</v>
      </c>
      <c r="D6" s="16" t="s">
        <v>50</v>
      </c>
      <c r="E6" s="16" t="s">
        <v>50</v>
      </c>
      <c r="F6" s="34" t="s">
        <v>51</v>
      </c>
      <c r="G6" s="16" t="s">
        <v>51</v>
      </c>
      <c r="H6" s="39" t="s">
        <v>51</v>
      </c>
      <c r="I6" s="16" t="s">
        <v>50</v>
      </c>
      <c r="J6" s="16" t="s">
        <v>50</v>
      </c>
      <c r="K6" s="27" t="s">
        <v>53</v>
      </c>
      <c r="L6" s="16" t="s">
        <v>50</v>
      </c>
      <c r="M6" s="16" t="s">
        <v>50</v>
      </c>
      <c r="N6" s="16" t="s">
        <v>50</v>
      </c>
      <c r="O6" s="16" t="s">
        <v>50</v>
      </c>
      <c r="P6" s="16" t="s">
        <v>50</v>
      </c>
      <c r="Q6" s="18" t="s">
        <v>53</v>
      </c>
      <c r="R6" s="26" t="s">
        <v>51</v>
      </c>
      <c r="S6" s="16" t="s">
        <v>50</v>
      </c>
      <c r="T6" s="27" t="s">
        <v>53</v>
      </c>
      <c r="U6" s="27" t="s">
        <v>53</v>
      </c>
      <c r="V6" s="16" t="s">
        <v>50</v>
      </c>
      <c r="W6" s="27" t="s">
        <v>53</v>
      </c>
      <c r="X6" s="27" t="s">
        <v>53</v>
      </c>
      <c r="Y6" s="16" t="s">
        <v>50</v>
      </c>
      <c r="Z6" s="27" t="s">
        <v>53</v>
      </c>
      <c r="AA6" s="27" t="s">
        <v>53</v>
      </c>
      <c r="AB6" s="27" t="s">
        <v>53</v>
      </c>
      <c r="AC6" s="27" t="s">
        <v>53</v>
      </c>
      <c r="AD6" s="27" t="s">
        <v>53</v>
      </c>
      <c r="AE6" s="27" t="s">
        <v>53</v>
      </c>
      <c r="AF6" s="27" t="s">
        <v>53</v>
      </c>
      <c r="AG6" s="26" t="s">
        <v>51</v>
      </c>
      <c r="AH6" s="27" t="s">
        <v>53</v>
      </c>
      <c r="AI6" s="16" t="s">
        <v>51</v>
      </c>
      <c r="AJ6" s="16" t="s">
        <v>51</v>
      </c>
      <c r="AK6" s="27" t="s">
        <v>53</v>
      </c>
      <c r="AL6" s="18" t="s">
        <v>53</v>
      </c>
      <c r="AM6" s="27" t="s">
        <v>53</v>
      </c>
      <c r="AN6" s="18" t="s">
        <v>53</v>
      </c>
      <c r="AO6" s="16" t="s">
        <v>50</v>
      </c>
      <c r="AP6" s="18" t="s">
        <v>53</v>
      </c>
      <c r="AQ6" s="27" t="s">
        <v>53</v>
      </c>
      <c r="AR6" s="6">
        <f t="shared" si="0"/>
        <v>21</v>
      </c>
      <c r="AS6" s="5">
        <f t="shared" si="1"/>
        <v>7</v>
      </c>
      <c r="AT6" s="5">
        <f t="shared" si="2"/>
        <v>14</v>
      </c>
      <c r="AU6">
        <f t="shared" si="3"/>
        <v>0</v>
      </c>
      <c r="AV6">
        <f t="shared" si="4"/>
        <v>0</v>
      </c>
      <c r="AW6">
        <f t="shared" si="5"/>
        <v>42</v>
      </c>
    </row>
    <row r="7" spans="1:49" x14ac:dyDescent="0.35">
      <c r="A7" s="5" t="s">
        <v>58</v>
      </c>
      <c r="B7" s="16" t="s">
        <v>50</v>
      </c>
      <c r="C7" s="16" t="s">
        <v>50</v>
      </c>
      <c r="D7" s="16" t="s">
        <v>50</v>
      </c>
      <c r="E7" s="16" t="s">
        <v>50</v>
      </c>
      <c r="F7" s="16" t="s">
        <v>50</v>
      </c>
      <c r="G7" s="16" t="s">
        <v>50</v>
      </c>
      <c r="H7" s="16" t="s">
        <v>50</v>
      </c>
      <c r="I7" s="16" t="s">
        <v>50</v>
      </c>
      <c r="J7" s="16" t="s">
        <v>50</v>
      </c>
      <c r="K7" s="27" t="s">
        <v>53</v>
      </c>
      <c r="L7" s="16" t="s">
        <v>50</v>
      </c>
      <c r="M7" s="18" t="s">
        <v>53</v>
      </c>
      <c r="N7" s="16" t="s">
        <v>50</v>
      </c>
      <c r="O7" s="18" t="s">
        <v>53</v>
      </c>
      <c r="P7" s="16" t="s">
        <v>50</v>
      </c>
      <c r="Q7" s="16" t="s">
        <v>50</v>
      </c>
      <c r="R7" s="16" t="s">
        <v>50</v>
      </c>
      <c r="S7" s="16" t="s">
        <v>50</v>
      </c>
      <c r="T7" s="16" t="s">
        <v>50</v>
      </c>
      <c r="U7" s="16" t="s">
        <v>50</v>
      </c>
      <c r="V7" s="16" t="s">
        <v>50</v>
      </c>
      <c r="W7" s="18" t="s">
        <v>53</v>
      </c>
      <c r="X7" s="16" t="s">
        <v>50</v>
      </c>
      <c r="Y7" s="16" t="s">
        <v>50</v>
      </c>
      <c r="Z7" s="16" t="s">
        <v>50</v>
      </c>
      <c r="AA7" s="16" t="s">
        <v>50</v>
      </c>
      <c r="AB7" s="16" t="s">
        <v>50</v>
      </c>
      <c r="AC7" s="16" t="s">
        <v>50</v>
      </c>
      <c r="AD7" s="18" t="s">
        <v>53</v>
      </c>
      <c r="AE7" s="16" t="s">
        <v>50</v>
      </c>
      <c r="AF7" s="16" t="s">
        <v>50</v>
      </c>
      <c r="AG7" s="16" t="s">
        <v>50</v>
      </c>
      <c r="AH7" s="16" t="s">
        <v>50</v>
      </c>
      <c r="AI7" s="16" t="s">
        <v>50</v>
      </c>
      <c r="AJ7" s="16" t="s">
        <v>50</v>
      </c>
      <c r="AK7" s="16" t="s">
        <v>50</v>
      </c>
      <c r="AL7" s="16" t="s">
        <v>50</v>
      </c>
      <c r="AM7" s="27" t="s">
        <v>53</v>
      </c>
      <c r="AN7" s="16" t="s">
        <v>50</v>
      </c>
      <c r="AO7" s="16" t="s">
        <v>50</v>
      </c>
      <c r="AP7" s="16" t="s">
        <v>50</v>
      </c>
      <c r="AQ7" s="16" t="s">
        <v>50</v>
      </c>
      <c r="AR7" s="6">
        <f t="shared" si="0"/>
        <v>6</v>
      </c>
      <c r="AS7" s="5">
        <f t="shared" si="1"/>
        <v>0</v>
      </c>
      <c r="AT7" s="5">
        <f t="shared" si="2"/>
        <v>36</v>
      </c>
      <c r="AU7">
        <f t="shared" si="3"/>
        <v>0</v>
      </c>
      <c r="AV7">
        <f t="shared" si="4"/>
        <v>0</v>
      </c>
      <c r="AW7">
        <f t="shared" si="5"/>
        <v>42</v>
      </c>
    </row>
    <row r="8" spans="1:49" x14ac:dyDescent="0.35">
      <c r="A8" s="5" t="s">
        <v>59</v>
      </c>
      <c r="B8" s="16" t="s">
        <v>50</v>
      </c>
      <c r="C8" s="16" t="s">
        <v>50</v>
      </c>
      <c r="D8" s="16" t="s">
        <v>51</v>
      </c>
      <c r="E8" s="16" t="s">
        <v>50</v>
      </c>
      <c r="F8" s="16" t="s">
        <v>50</v>
      </c>
      <c r="G8" s="16" t="s">
        <v>50</v>
      </c>
      <c r="H8" s="16" t="s">
        <v>50</v>
      </c>
      <c r="I8" s="16" t="s">
        <v>50</v>
      </c>
      <c r="J8" s="16" t="s">
        <v>50</v>
      </c>
      <c r="K8" s="16" t="s">
        <v>50</v>
      </c>
      <c r="L8" s="16" t="s">
        <v>50</v>
      </c>
      <c r="M8" s="16" t="s">
        <v>50</v>
      </c>
      <c r="N8" s="16" t="s">
        <v>50</v>
      </c>
      <c r="O8" s="16" t="s">
        <v>50</v>
      </c>
      <c r="P8" s="16" t="s">
        <v>50</v>
      </c>
      <c r="Q8" s="16" t="s">
        <v>50</v>
      </c>
      <c r="R8" s="16" t="s">
        <v>50</v>
      </c>
      <c r="S8" s="16" t="s">
        <v>50</v>
      </c>
      <c r="T8" s="26" t="s">
        <v>50</v>
      </c>
      <c r="U8" s="16" t="s">
        <v>51</v>
      </c>
      <c r="V8" s="16" t="s">
        <v>50</v>
      </c>
      <c r="W8" s="16" t="s">
        <v>50</v>
      </c>
      <c r="X8" s="16" t="s">
        <v>50</v>
      </c>
      <c r="Y8" s="16" t="s">
        <v>50</v>
      </c>
      <c r="Z8" s="16" t="s">
        <v>50</v>
      </c>
      <c r="AA8" s="16" t="s">
        <v>50</v>
      </c>
      <c r="AB8" s="16" t="s">
        <v>50</v>
      </c>
      <c r="AC8" s="16" t="s">
        <v>50</v>
      </c>
      <c r="AD8" s="16" t="s">
        <v>50</v>
      </c>
      <c r="AE8" s="16" t="s">
        <v>50</v>
      </c>
      <c r="AF8" s="16" t="s">
        <v>50</v>
      </c>
      <c r="AG8" s="16" t="s">
        <v>50</v>
      </c>
      <c r="AH8" s="16" t="s">
        <v>50</v>
      </c>
      <c r="AI8" s="16" t="s">
        <v>50</v>
      </c>
      <c r="AJ8" s="16" t="s">
        <v>50</v>
      </c>
      <c r="AK8" s="16" t="s">
        <v>50</v>
      </c>
      <c r="AL8" s="16" t="s">
        <v>50</v>
      </c>
      <c r="AM8" s="16" t="s">
        <v>50</v>
      </c>
      <c r="AN8" s="16" t="s">
        <v>50</v>
      </c>
      <c r="AO8" s="16" t="s">
        <v>50</v>
      </c>
      <c r="AP8" s="16" t="s">
        <v>50</v>
      </c>
      <c r="AQ8" s="16" t="s">
        <v>50</v>
      </c>
      <c r="AR8" s="5">
        <f t="shared" si="0"/>
        <v>0</v>
      </c>
      <c r="AS8" s="5">
        <f t="shared" si="1"/>
        <v>2</v>
      </c>
      <c r="AT8" s="5">
        <f t="shared" si="2"/>
        <v>40</v>
      </c>
      <c r="AU8">
        <f t="shared" si="3"/>
        <v>0</v>
      </c>
      <c r="AV8">
        <f t="shared" si="4"/>
        <v>0</v>
      </c>
      <c r="AW8">
        <f t="shared" si="5"/>
        <v>42</v>
      </c>
    </row>
    <row r="9" spans="1:49" x14ac:dyDescent="0.35">
      <c r="A9" s="5" t="s">
        <v>60</v>
      </c>
      <c r="B9" s="16" t="s">
        <v>50</v>
      </c>
      <c r="C9" s="16" t="s">
        <v>50</v>
      </c>
      <c r="D9" s="16" t="s">
        <v>50</v>
      </c>
      <c r="E9" s="18" t="s">
        <v>53</v>
      </c>
      <c r="F9" s="27" t="s">
        <v>53</v>
      </c>
      <c r="G9" s="16" t="s">
        <v>50</v>
      </c>
      <c r="H9" s="16" t="s">
        <v>50</v>
      </c>
      <c r="I9" s="16" t="s">
        <v>50</v>
      </c>
      <c r="J9" s="16" t="s">
        <v>50</v>
      </c>
      <c r="K9" s="27" t="s">
        <v>53</v>
      </c>
      <c r="L9" s="16" t="s">
        <v>50</v>
      </c>
      <c r="M9" s="16" t="s">
        <v>50</v>
      </c>
      <c r="N9" s="16" t="s">
        <v>50</v>
      </c>
      <c r="O9" s="18" t="s">
        <v>53</v>
      </c>
      <c r="P9" s="16" t="s">
        <v>50</v>
      </c>
      <c r="Q9" s="16" t="s">
        <v>50</v>
      </c>
      <c r="R9" s="16" t="s">
        <v>50</v>
      </c>
      <c r="S9" s="16" t="s">
        <v>50</v>
      </c>
      <c r="T9" s="27" t="s">
        <v>53</v>
      </c>
      <c r="U9" s="16" t="s">
        <v>50</v>
      </c>
      <c r="V9" s="16" t="s">
        <v>50</v>
      </c>
      <c r="W9" s="18" t="s">
        <v>53</v>
      </c>
      <c r="X9" s="16" t="s">
        <v>50</v>
      </c>
      <c r="Y9" s="16" t="s">
        <v>50</v>
      </c>
      <c r="Z9" s="18" t="s">
        <v>53</v>
      </c>
      <c r="AA9" s="16" t="s">
        <v>50</v>
      </c>
      <c r="AB9" s="16" t="s">
        <v>50</v>
      </c>
      <c r="AC9" s="18" t="s">
        <v>53</v>
      </c>
      <c r="AD9" s="18" t="s">
        <v>53</v>
      </c>
      <c r="AE9" s="18" t="s">
        <v>53</v>
      </c>
      <c r="AF9" s="16" t="s">
        <v>50</v>
      </c>
      <c r="AG9" s="16" t="s">
        <v>50</v>
      </c>
      <c r="AH9" s="18" t="s">
        <v>53</v>
      </c>
      <c r="AI9" s="16" t="s">
        <v>50</v>
      </c>
      <c r="AJ9" s="16" t="s">
        <v>50</v>
      </c>
      <c r="AK9" s="16" t="s">
        <v>50</v>
      </c>
      <c r="AL9" s="18" t="s">
        <v>53</v>
      </c>
      <c r="AM9" s="16" t="s">
        <v>50</v>
      </c>
      <c r="AN9" s="16" t="s">
        <v>50</v>
      </c>
      <c r="AO9" s="16" t="s">
        <v>50</v>
      </c>
      <c r="AP9" s="16" t="s">
        <v>50</v>
      </c>
      <c r="AQ9" s="16" t="s">
        <v>50</v>
      </c>
      <c r="AR9" s="5">
        <f t="shared" si="0"/>
        <v>12</v>
      </c>
      <c r="AS9" s="5">
        <f t="shared" si="1"/>
        <v>0</v>
      </c>
      <c r="AT9" s="5">
        <f t="shared" si="2"/>
        <v>30</v>
      </c>
      <c r="AU9">
        <f t="shared" si="3"/>
        <v>0</v>
      </c>
      <c r="AV9">
        <f t="shared" si="4"/>
        <v>0</v>
      </c>
      <c r="AW9">
        <f t="shared" si="5"/>
        <v>42</v>
      </c>
    </row>
    <row r="10" spans="1:49" ht="29" x14ac:dyDescent="0.35">
      <c r="A10" s="7" t="s">
        <v>61</v>
      </c>
      <c r="B10" s="16" t="s">
        <v>50</v>
      </c>
      <c r="C10" s="16" t="s">
        <v>50</v>
      </c>
      <c r="D10" s="16" t="s">
        <v>50</v>
      </c>
      <c r="E10" s="16" t="s">
        <v>50</v>
      </c>
      <c r="F10" s="16" t="s">
        <v>50</v>
      </c>
      <c r="G10" s="16" t="s">
        <v>50</v>
      </c>
      <c r="H10" s="16" t="s">
        <v>50</v>
      </c>
      <c r="I10" s="16" t="s">
        <v>50</v>
      </c>
      <c r="J10" s="16" t="s">
        <v>50</v>
      </c>
      <c r="K10" s="27" t="s">
        <v>53</v>
      </c>
      <c r="L10" s="16" t="s">
        <v>50</v>
      </c>
      <c r="M10" s="16" t="s">
        <v>50</v>
      </c>
      <c r="N10" s="16" t="s">
        <v>51</v>
      </c>
      <c r="O10" s="16" t="s">
        <v>50</v>
      </c>
      <c r="P10" s="16" t="s">
        <v>50</v>
      </c>
      <c r="Q10" s="16" t="s">
        <v>50</v>
      </c>
      <c r="R10" s="16" t="s">
        <v>50</v>
      </c>
      <c r="S10" s="16" t="s">
        <v>50</v>
      </c>
      <c r="T10" s="26" t="s">
        <v>51</v>
      </c>
      <c r="U10" s="16" t="s">
        <v>50</v>
      </c>
      <c r="V10" s="16" t="s">
        <v>50</v>
      </c>
      <c r="W10" s="16" t="s">
        <v>50</v>
      </c>
      <c r="X10" s="16" t="s">
        <v>50</v>
      </c>
      <c r="Y10" s="16" t="s">
        <v>50</v>
      </c>
      <c r="Z10" s="16" t="s">
        <v>50</v>
      </c>
      <c r="AA10" s="16" t="s">
        <v>50</v>
      </c>
      <c r="AB10" s="16" t="s">
        <v>50</v>
      </c>
      <c r="AC10" s="16" t="s">
        <v>50</v>
      </c>
      <c r="AD10" s="16" t="s">
        <v>50</v>
      </c>
      <c r="AE10" s="16" t="s">
        <v>50</v>
      </c>
      <c r="AF10" s="16" t="s">
        <v>50</v>
      </c>
      <c r="AG10" s="16" t="s">
        <v>50</v>
      </c>
      <c r="AH10" s="16" t="s">
        <v>50</v>
      </c>
      <c r="AI10" s="16" t="s">
        <v>50</v>
      </c>
      <c r="AJ10" s="16" t="s">
        <v>50</v>
      </c>
      <c r="AK10" s="16" t="s">
        <v>50</v>
      </c>
      <c r="AL10" s="16" t="s">
        <v>50</v>
      </c>
      <c r="AM10" s="16" t="s">
        <v>50</v>
      </c>
      <c r="AN10" s="16" t="s">
        <v>50</v>
      </c>
      <c r="AO10" s="16" t="s">
        <v>50</v>
      </c>
      <c r="AP10" s="16" t="s">
        <v>50</v>
      </c>
      <c r="AQ10" s="16" t="s">
        <v>50</v>
      </c>
      <c r="AR10" s="5">
        <f t="shared" si="0"/>
        <v>1</v>
      </c>
      <c r="AS10" s="5">
        <f t="shared" si="1"/>
        <v>2</v>
      </c>
      <c r="AT10" s="5">
        <f t="shared" si="2"/>
        <v>39</v>
      </c>
      <c r="AU10">
        <f t="shared" si="3"/>
        <v>0</v>
      </c>
      <c r="AV10">
        <f t="shared" si="4"/>
        <v>0</v>
      </c>
      <c r="AW10">
        <f t="shared" si="5"/>
        <v>42</v>
      </c>
    </row>
    <row r="11" spans="1:49" ht="29" x14ac:dyDescent="0.35">
      <c r="A11" s="7" t="s">
        <v>62</v>
      </c>
      <c r="B11" s="18" t="s">
        <v>53</v>
      </c>
      <c r="C11" s="16" t="s">
        <v>51</v>
      </c>
      <c r="D11" s="18" t="s">
        <v>53</v>
      </c>
      <c r="E11" s="16" t="s">
        <v>51</v>
      </c>
      <c r="F11" s="26" t="s">
        <v>50</v>
      </c>
      <c r="G11" s="18" t="s">
        <v>53</v>
      </c>
      <c r="H11" s="18" t="s">
        <v>53</v>
      </c>
      <c r="I11" s="18" t="s">
        <v>53</v>
      </c>
      <c r="J11" s="18" t="s">
        <v>53</v>
      </c>
      <c r="K11" s="18" t="s">
        <v>53</v>
      </c>
      <c r="L11" s="18" t="s">
        <v>53</v>
      </c>
      <c r="M11" s="16" t="s">
        <v>51</v>
      </c>
      <c r="N11" s="18" t="s">
        <v>53</v>
      </c>
      <c r="O11" s="18" t="s">
        <v>53</v>
      </c>
      <c r="P11" s="18" t="s">
        <v>53</v>
      </c>
      <c r="Q11" s="26" t="s">
        <v>50</v>
      </c>
      <c r="R11" s="18" t="s">
        <v>53</v>
      </c>
      <c r="S11" s="18" t="s">
        <v>53</v>
      </c>
      <c r="T11" s="18" t="s">
        <v>53</v>
      </c>
      <c r="U11" s="18" t="s">
        <v>53</v>
      </c>
      <c r="V11" s="18" t="s">
        <v>53</v>
      </c>
      <c r="W11" s="18" t="s">
        <v>53</v>
      </c>
      <c r="X11" s="18" t="s">
        <v>53</v>
      </c>
      <c r="Y11" s="16" t="s">
        <v>63</v>
      </c>
      <c r="Z11" s="18" t="s">
        <v>53</v>
      </c>
      <c r="AA11" s="18" t="s">
        <v>53</v>
      </c>
      <c r="AB11" s="18" t="s">
        <v>53</v>
      </c>
      <c r="AC11" s="18" t="s">
        <v>53</v>
      </c>
      <c r="AD11" s="25" t="s">
        <v>53</v>
      </c>
      <c r="AE11" s="18" t="s">
        <v>53</v>
      </c>
      <c r="AF11" s="18" t="s">
        <v>53</v>
      </c>
      <c r="AG11" s="18" t="s">
        <v>53</v>
      </c>
      <c r="AH11" s="18" t="s">
        <v>53</v>
      </c>
      <c r="AI11" s="18" t="s">
        <v>53</v>
      </c>
      <c r="AJ11" s="18" t="s">
        <v>53</v>
      </c>
      <c r="AK11" s="18" t="s">
        <v>53</v>
      </c>
      <c r="AL11" s="18" t="s">
        <v>53</v>
      </c>
      <c r="AM11" s="18" t="s">
        <v>53</v>
      </c>
      <c r="AN11" s="18" t="s">
        <v>53</v>
      </c>
      <c r="AO11" s="16" t="s">
        <v>51</v>
      </c>
      <c r="AP11" s="18" t="s">
        <v>53</v>
      </c>
      <c r="AQ11" s="18" t="s">
        <v>53</v>
      </c>
      <c r="AR11" s="5">
        <f t="shared" si="0"/>
        <v>35</v>
      </c>
      <c r="AS11" s="5">
        <f t="shared" si="1"/>
        <v>4</v>
      </c>
      <c r="AT11" s="5">
        <f t="shared" si="2"/>
        <v>2</v>
      </c>
      <c r="AU11">
        <f t="shared" si="3"/>
        <v>1</v>
      </c>
      <c r="AV11">
        <f t="shared" si="4"/>
        <v>0</v>
      </c>
      <c r="AW11">
        <f t="shared" si="5"/>
        <v>42</v>
      </c>
    </row>
    <row r="12" spans="1:49" ht="29" x14ac:dyDescent="0.35">
      <c r="A12" s="7" t="s">
        <v>64</v>
      </c>
      <c r="B12" s="16" t="s">
        <v>50</v>
      </c>
      <c r="C12" s="16" t="s">
        <v>50</v>
      </c>
      <c r="D12" s="16" t="s">
        <v>50</v>
      </c>
      <c r="E12" s="16" t="s">
        <v>50</v>
      </c>
      <c r="F12" s="16" t="s">
        <v>50</v>
      </c>
      <c r="G12" s="16" t="s">
        <v>50</v>
      </c>
      <c r="H12" s="16" t="s">
        <v>50</v>
      </c>
      <c r="I12" s="16" t="s">
        <v>50</v>
      </c>
      <c r="J12" s="16" t="s">
        <v>50</v>
      </c>
      <c r="K12" s="18" t="s">
        <v>53</v>
      </c>
      <c r="L12" s="16" t="s">
        <v>50</v>
      </c>
      <c r="M12" s="16" t="s">
        <v>50</v>
      </c>
      <c r="N12" s="18" t="s">
        <v>53</v>
      </c>
      <c r="O12" s="16" t="s">
        <v>50</v>
      </c>
      <c r="P12" s="16" t="s">
        <v>50</v>
      </c>
      <c r="Q12" s="16" t="s">
        <v>50</v>
      </c>
      <c r="R12" s="16" t="s">
        <v>50</v>
      </c>
      <c r="S12" s="16" t="s">
        <v>50</v>
      </c>
      <c r="T12" s="16" t="s">
        <v>50</v>
      </c>
      <c r="U12" s="16" t="s">
        <v>50</v>
      </c>
      <c r="V12" s="16" t="s">
        <v>50</v>
      </c>
      <c r="W12" s="16" t="s">
        <v>50</v>
      </c>
      <c r="X12" s="16" t="s">
        <v>50</v>
      </c>
      <c r="Y12" s="16" t="s">
        <v>50</v>
      </c>
      <c r="Z12" s="16" t="s">
        <v>50</v>
      </c>
      <c r="AA12" s="16" t="s">
        <v>50</v>
      </c>
      <c r="AB12" s="16" t="s">
        <v>50</v>
      </c>
      <c r="AC12" s="16" t="s">
        <v>50</v>
      </c>
      <c r="AD12" s="16" t="s">
        <v>50</v>
      </c>
      <c r="AE12" s="16" t="s">
        <v>50</v>
      </c>
      <c r="AF12" s="16" t="s">
        <v>50</v>
      </c>
      <c r="AG12" s="16" t="s">
        <v>50</v>
      </c>
      <c r="AH12" s="16" t="s">
        <v>50</v>
      </c>
      <c r="AI12" s="16" t="s">
        <v>50</v>
      </c>
      <c r="AJ12" s="16" t="s">
        <v>50</v>
      </c>
      <c r="AK12" s="16" t="s">
        <v>50</v>
      </c>
      <c r="AL12" s="16" t="s">
        <v>50</v>
      </c>
      <c r="AM12" s="16" t="s">
        <v>50</v>
      </c>
      <c r="AN12" s="16" t="s">
        <v>50</v>
      </c>
      <c r="AO12" s="16" t="s">
        <v>50</v>
      </c>
      <c r="AP12" s="16" t="s">
        <v>50</v>
      </c>
      <c r="AQ12" s="16" t="s">
        <v>50</v>
      </c>
      <c r="AR12" s="5">
        <f t="shared" si="0"/>
        <v>2</v>
      </c>
      <c r="AS12" s="5">
        <f t="shared" si="1"/>
        <v>0</v>
      </c>
      <c r="AT12" s="5">
        <f t="shared" si="2"/>
        <v>40</v>
      </c>
      <c r="AU12">
        <f t="shared" si="3"/>
        <v>0</v>
      </c>
      <c r="AV12">
        <f t="shared" si="4"/>
        <v>0</v>
      </c>
      <c r="AW12">
        <f t="shared" si="5"/>
        <v>42</v>
      </c>
    </row>
    <row r="13" spans="1:49" x14ac:dyDescent="0.35">
      <c r="A13" s="7" t="s">
        <v>65</v>
      </c>
      <c r="B13" s="16" t="s">
        <v>50</v>
      </c>
      <c r="C13" s="16" t="s">
        <v>50</v>
      </c>
      <c r="D13" s="16" t="s">
        <v>51</v>
      </c>
      <c r="E13" s="16" t="s">
        <v>50</v>
      </c>
      <c r="F13" s="16" t="s">
        <v>50</v>
      </c>
      <c r="G13" s="16" t="s">
        <v>50</v>
      </c>
      <c r="H13" s="16" t="s">
        <v>51</v>
      </c>
      <c r="I13" s="38" t="s">
        <v>51</v>
      </c>
      <c r="J13" s="16" t="s">
        <v>51</v>
      </c>
      <c r="K13" s="16" t="s">
        <v>50</v>
      </c>
      <c r="L13" s="16" t="s">
        <v>50</v>
      </c>
      <c r="M13" s="16" t="s">
        <v>50</v>
      </c>
      <c r="N13" s="16" t="s">
        <v>50</v>
      </c>
      <c r="O13" s="16" t="s">
        <v>50</v>
      </c>
      <c r="P13" s="16" t="s">
        <v>51</v>
      </c>
      <c r="Q13" s="16" t="s">
        <v>50</v>
      </c>
      <c r="R13" s="16" t="s">
        <v>50</v>
      </c>
      <c r="S13" s="16" t="s">
        <v>51</v>
      </c>
      <c r="T13" s="26" t="s">
        <v>51</v>
      </c>
      <c r="U13" s="16" t="s">
        <v>50</v>
      </c>
      <c r="V13" s="16" t="s">
        <v>50</v>
      </c>
      <c r="W13" s="16" t="s">
        <v>50</v>
      </c>
      <c r="X13" s="16" t="s">
        <v>50</v>
      </c>
      <c r="Y13" s="16" t="s">
        <v>50</v>
      </c>
      <c r="Z13" s="16" t="s">
        <v>51</v>
      </c>
      <c r="AA13" s="16" t="s">
        <v>51</v>
      </c>
      <c r="AB13" s="16" t="s">
        <v>50</v>
      </c>
      <c r="AC13" s="16" t="s">
        <v>50</v>
      </c>
      <c r="AD13" s="16" t="s">
        <v>50</v>
      </c>
      <c r="AE13" s="16" t="s">
        <v>50</v>
      </c>
      <c r="AF13" s="16" t="s">
        <v>50</v>
      </c>
      <c r="AG13" s="16" t="s">
        <v>50</v>
      </c>
      <c r="AH13" s="16" t="s">
        <v>50</v>
      </c>
      <c r="AI13" s="16" t="s">
        <v>50</v>
      </c>
      <c r="AJ13" s="16" t="s">
        <v>50</v>
      </c>
      <c r="AK13" s="16" t="s">
        <v>50</v>
      </c>
      <c r="AL13" s="16" t="s">
        <v>50</v>
      </c>
      <c r="AM13" s="16" t="s">
        <v>50</v>
      </c>
      <c r="AN13" s="16" t="s">
        <v>50</v>
      </c>
      <c r="AO13" s="16" t="s">
        <v>51</v>
      </c>
      <c r="AP13" s="16" t="s">
        <v>50</v>
      </c>
      <c r="AQ13" s="16" t="s">
        <v>50</v>
      </c>
      <c r="AR13" s="5">
        <f t="shared" si="0"/>
        <v>0</v>
      </c>
      <c r="AS13" s="5">
        <f t="shared" si="1"/>
        <v>10</v>
      </c>
      <c r="AT13" s="5">
        <f t="shared" si="2"/>
        <v>32</v>
      </c>
      <c r="AU13">
        <f t="shared" si="3"/>
        <v>0</v>
      </c>
      <c r="AV13">
        <f t="shared" si="4"/>
        <v>0</v>
      </c>
      <c r="AW13">
        <f t="shared" si="5"/>
        <v>42</v>
      </c>
    </row>
    <row r="14" spans="1:49" x14ac:dyDescent="0.35">
      <c r="A14" s="7" t="s">
        <v>66</v>
      </c>
      <c r="B14" s="16" t="s">
        <v>50</v>
      </c>
      <c r="C14" s="16" t="s">
        <v>50</v>
      </c>
      <c r="D14" s="16" t="s">
        <v>51</v>
      </c>
      <c r="E14" s="18" t="s">
        <v>53</v>
      </c>
      <c r="F14" s="18" t="s">
        <v>53</v>
      </c>
      <c r="G14" s="18" t="s">
        <v>53</v>
      </c>
      <c r="H14" s="18" t="s">
        <v>53</v>
      </c>
      <c r="I14" s="16" t="s">
        <v>50</v>
      </c>
      <c r="J14" s="16" t="s">
        <v>50</v>
      </c>
      <c r="K14" s="16" t="s">
        <v>50</v>
      </c>
      <c r="L14" s="18" t="s">
        <v>53</v>
      </c>
      <c r="M14" s="16" t="s">
        <v>50</v>
      </c>
      <c r="N14" s="16" t="s">
        <v>50</v>
      </c>
      <c r="O14" s="16" t="s">
        <v>50</v>
      </c>
      <c r="P14" s="34" t="s">
        <v>50</v>
      </c>
      <c r="Q14" s="16" t="s">
        <v>50</v>
      </c>
      <c r="R14" s="16" t="s">
        <v>50</v>
      </c>
      <c r="S14" s="16" t="s">
        <v>50</v>
      </c>
      <c r="T14" s="18" t="s">
        <v>53</v>
      </c>
      <c r="U14" s="16" t="s">
        <v>51</v>
      </c>
      <c r="V14" s="16" t="s">
        <v>50</v>
      </c>
      <c r="W14" s="18" t="s">
        <v>53</v>
      </c>
      <c r="X14" s="16" t="s">
        <v>50</v>
      </c>
      <c r="Y14" s="18" t="s">
        <v>53</v>
      </c>
      <c r="Z14" s="16" t="s">
        <v>50</v>
      </c>
      <c r="AA14" s="18" t="s">
        <v>53</v>
      </c>
      <c r="AB14" s="16" t="s">
        <v>50</v>
      </c>
      <c r="AC14" s="16" t="s">
        <v>50</v>
      </c>
      <c r="AD14" s="21" t="s">
        <v>50</v>
      </c>
      <c r="AE14" s="16" t="s">
        <v>50</v>
      </c>
      <c r="AF14" s="16" t="s">
        <v>50</v>
      </c>
      <c r="AG14" s="16" t="s">
        <v>50</v>
      </c>
      <c r="AH14" s="18" t="s">
        <v>53</v>
      </c>
      <c r="AI14" s="16" t="s">
        <v>50</v>
      </c>
      <c r="AJ14" s="16" t="s">
        <v>50</v>
      </c>
      <c r="AK14" s="16" t="s">
        <v>50</v>
      </c>
      <c r="AL14" s="16" t="s">
        <v>50</v>
      </c>
      <c r="AM14" s="16" t="s">
        <v>50</v>
      </c>
      <c r="AN14" s="16" t="s">
        <v>50</v>
      </c>
      <c r="AO14" s="16" t="s">
        <v>50</v>
      </c>
      <c r="AP14" s="16" t="s">
        <v>50</v>
      </c>
      <c r="AQ14" s="16" t="s">
        <v>50</v>
      </c>
      <c r="AR14" s="5">
        <f t="shared" si="0"/>
        <v>10</v>
      </c>
      <c r="AS14" s="5">
        <f t="shared" si="1"/>
        <v>2</v>
      </c>
      <c r="AT14" s="5">
        <f t="shared" si="2"/>
        <v>30</v>
      </c>
      <c r="AU14">
        <f t="shared" si="3"/>
        <v>0</v>
      </c>
      <c r="AV14">
        <f t="shared" si="4"/>
        <v>0</v>
      </c>
      <c r="AW14">
        <f t="shared" ref="AW14:AW45" si="6">SUM(AR14:AU14)</f>
        <v>42</v>
      </c>
    </row>
    <row r="15" spans="1:49" x14ac:dyDescent="0.35">
      <c r="A15" s="7" t="s">
        <v>67</v>
      </c>
      <c r="B15" s="16" t="s">
        <v>50</v>
      </c>
      <c r="C15" s="16" t="s">
        <v>50</v>
      </c>
      <c r="D15" s="16" t="s">
        <v>50</v>
      </c>
      <c r="E15" s="18" t="s">
        <v>53</v>
      </c>
      <c r="F15" s="27" t="s">
        <v>53</v>
      </c>
      <c r="G15" s="16" t="s">
        <v>50</v>
      </c>
      <c r="H15" s="16" t="s">
        <v>50</v>
      </c>
      <c r="I15" s="16" t="s">
        <v>50</v>
      </c>
      <c r="J15" s="16" t="s">
        <v>50</v>
      </c>
      <c r="K15" s="27" t="s">
        <v>53</v>
      </c>
      <c r="L15" s="16" t="s">
        <v>50</v>
      </c>
      <c r="M15" s="16" t="s">
        <v>50</v>
      </c>
      <c r="N15" s="16" t="s">
        <v>50</v>
      </c>
      <c r="O15" s="18" t="s">
        <v>53</v>
      </c>
      <c r="P15" s="16" t="s">
        <v>50</v>
      </c>
      <c r="Q15" s="16" t="s">
        <v>50</v>
      </c>
      <c r="R15" s="16" t="s">
        <v>50</v>
      </c>
      <c r="S15" s="16" t="s">
        <v>50</v>
      </c>
      <c r="T15" s="16" t="s">
        <v>50</v>
      </c>
      <c r="U15" s="16" t="s">
        <v>50</v>
      </c>
      <c r="V15" s="16" t="s">
        <v>50</v>
      </c>
      <c r="W15" s="16" t="s">
        <v>50</v>
      </c>
      <c r="X15" s="16" t="s">
        <v>50</v>
      </c>
      <c r="Y15" s="16" t="s">
        <v>50</v>
      </c>
      <c r="Z15" s="18" t="s">
        <v>53</v>
      </c>
      <c r="AA15" s="16" t="s">
        <v>50</v>
      </c>
      <c r="AB15" s="16" t="s">
        <v>50</v>
      </c>
      <c r="AC15" s="18" t="s">
        <v>53</v>
      </c>
      <c r="AD15" s="18" t="s">
        <v>53</v>
      </c>
      <c r="AE15" s="18" t="s">
        <v>53</v>
      </c>
      <c r="AF15" s="16" t="s">
        <v>50</v>
      </c>
      <c r="AG15" s="16" t="s">
        <v>50</v>
      </c>
      <c r="AH15" s="18" t="s">
        <v>53</v>
      </c>
      <c r="AI15" s="16" t="s">
        <v>50</v>
      </c>
      <c r="AJ15" s="16" t="s">
        <v>50</v>
      </c>
      <c r="AK15" s="16" t="s">
        <v>50</v>
      </c>
      <c r="AL15" s="18" t="s">
        <v>53</v>
      </c>
      <c r="AM15" s="16" t="s">
        <v>50</v>
      </c>
      <c r="AN15" s="16" t="s">
        <v>50</v>
      </c>
      <c r="AO15" s="16" t="s">
        <v>50</v>
      </c>
      <c r="AP15" s="16" t="s">
        <v>50</v>
      </c>
      <c r="AQ15" s="16" t="s">
        <v>50</v>
      </c>
      <c r="AR15" s="5">
        <f t="shared" si="0"/>
        <v>10</v>
      </c>
      <c r="AS15" s="5">
        <f t="shared" si="1"/>
        <v>0</v>
      </c>
      <c r="AT15" s="5">
        <f t="shared" si="2"/>
        <v>32</v>
      </c>
      <c r="AU15">
        <f t="shared" si="3"/>
        <v>0</v>
      </c>
      <c r="AV15">
        <f t="shared" si="4"/>
        <v>0</v>
      </c>
      <c r="AW15">
        <f t="shared" si="6"/>
        <v>42</v>
      </c>
    </row>
    <row r="16" spans="1:49" x14ac:dyDescent="0.35">
      <c r="A16" s="7" t="s">
        <v>68</v>
      </c>
      <c r="B16" s="16" t="s">
        <v>50</v>
      </c>
      <c r="C16" s="16" t="s">
        <v>50</v>
      </c>
      <c r="D16" s="16" t="s">
        <v>50</v>
      </c>
      <c r="E16" s="16" t="s">
        <v>50</v>
      </c>
      <c r="F16" s="16" t="s">
        <v>50</v>
      </c>
      <c r="G16" s="16" t="s">
        <v>50</v>
      </c>
      <c r="H16" s="16" t="s">
        <v>50</v>
      </c>
      <c r="I16" s="16" t="s">
        <v>51</v>
      </c>
      <c r="J16" s="16" t="s">
        <v>51</v>
      </c>
      <c r="K16" s="16" t="s">
        <v>50</v>
      </c>
      <c r="L16" s="16" t="s">
        <v>50</v>
      </c>
      <c r="M16" s="16" t="s">
        <v>50</v>
      </c>
      <c r="N16" s="16" t="s">
        <v>50</v>
      </c>
      <c r="O16" s="16" t="s">
        <v>50</v>
      </c>
      <c r="P16" s="16" t="s">
        <v>50</v>
      </c>
      <c r="Q16" s="16" t="s">
        <v>51</v>
      </c>
      <c r="R16" s="16" t="s">
        <v>50</v>
      </c>
      <c r="S16" s="16" t="s">
        <v>50</v>
      </c>
      <c r="T16" s="26" t="s">
        <v>50</v>
      </c>
      <c r="U16" s="16" t="s">
        <v>51</v>
      </c>
      <c r="V16" s="16" t="s">
        <v>50</v>
      </c>
      <c r="W16" s="16" t="s">
        <v>50</v>
      </c>
      <c r="X16" s="16" t="s">
        <v>50</v>
      </c>
      <c r="Y16" s="16" t="s">
        <v>50</v>
      </c>
      <c r="Z16" s="16" t="s">
        <v>51</v>
      </c>
      <c r="AA16" s="16" t="s">
        <v>51</v>
      </c>
      <c r="AB16" s="16" t="s">
        <v>51</v>
      </c>
      <c r="AC16" s="16" t="s">
        <v>50</v>
      </c>
      <c r="AD16" s="16" t="s">
        <v>51</v>
      </c>
      <c r="AE16" s="16" t="s">
        <v>50</v>
      </c>
      <c r="AF16" s="16" t="s">
        <v>50</v>
      </c>
      <c r="AG16" s="16" t="s">
        <v>50</v>
      </c>
      <c r="AH16" s="16" t="s">
        <v>50</v>
      </c>
      <c r="AI16" s="16" t="s">
        <v>50</v>
      </c>
      <c r="AJ16" s="16" t="s">
        <v>50</v>
      </c>
      <c r="AK16" s="16" t="s">
        <v>50</v>
      </c>
      <c r="AL16" s="16" t="s">
        <v>50</v>
      </c>
      <c r="AM16" s="16" t="s">
        <v>50</v>
      </c>
      <c r="AN16" s="16" t="s">
        <v>51</v>
      </c>
      <c r="AO16" s="16" t="s">
        <v>50</v>
      </c>
      <c r="AP16" s="16" t="s">
        <v>50</v>
      </c>
      <c r="AQ16" s="16" t="s">
        <v>50</v>
      </c>
      <c r="AR16" s="5">
        <f t="shared" si="0"/>
        <v>0</v>
      </c>
      <c r="AS16" s="5">
        <f t="shared" si="1"/>
        <v>9</v>
      </c>
      <c r="AT16" s="5">
        <f t="shared" si="2"/>
        <v>33</v>
      </c>
      <c r="AU16">
        <f t="shared" si="3"/>
        <v>0</v>
      </c>
      <c r="AV16">
        <f t="shared" si="4"/>
        <v>0</v>
      </c>
      <c r="AW16">
        <f t="shared" si="6"/>
        <v>42</v>
      </c>
    </row>
    <row r="17" spans="1:49" x14ac:dyDescent="0.35">
      <c r="A17" s="5" t="s">
        <v>69</v>
      </c>
      <c r="B17" s="18" t="s">
        <v>53</v>
      </c>
      <c r="C17" s="16" t="s">
        <v>51</v>
      </c>
      <c r="D17" s="16" t="s">
        <v>51</v>
      </c>
      <c r="E17" s="34" t="s">
        <v>51</v>
      </c>
      <c r="F17" s="26" t="s">
        <v>50</v>
      </c>
      <c r="G17" s="16" t="s">
        <v>51</v>
      </c>
      <c r="H17" s="16" t="s">
        <v>51</v>
      </c>
      <c r="I17" s="16" t="s">
        <v>51</v>
      </c>
      <c r="J17" s="16" t="s">
        <v>51</v>
      </c>
      <c r="K17" s="16" t="s">
        <v>51</v>
      </c>
      <c r="L17" s="16" t="s">
        <v>51</v>
      </c>
      <c r="M17" s="18" t="s">
        <v>53</v>
      </c>
      <c r="N17" s="16" t="s">
        <v>51</v>
      </c>
      <c r="O17" s="18" t="s">
        <v>53</v>
      </c>
      <c r="P17" s="16" t="s">
        <v>51</v>
      </c>
      <c r="Q17" s="16" t="s">
        <v>51</v>
      </c>
      <c r="R17" s="18" t="s">
        <v>53</v>
      </c>
      <c r="S17" s="18" t="s">
        <v>53</v>
      </c>
      <c r="T17" s="16" t="s">
        <v>51</v>
      </c>
      <c r="U17" s="18" t="s">
        <v>53</v>
      </c>
      <c r="V17" s="31" t="s">
        <v>53</v>
      </c>
      <c r="W17" s="16" t="s">
        <v>51</v>
      </c>
      <c r="X17" s="31" t="s">
        <v>53</v>
      </c>
      <c r="Y17" s="31" t="s">
        <v>53</v>
      </c>
      <c r="Z17" s="18" t="s">
        <v>53</v>
      </c>
      <c r="AA17" s="35" t="s">
        <v>51</v>
      </c>
      <c r="AB17" s="16" t="s">
        <v>51</v>
      </c>
      <c r="AC17" s="18" t="s">
        <v>53</v>
      </c>
      <c r="AD17" s="21" t="s">
        <v>51</v>
      </c>
      <c r="AE17" s="41" t="s">
        <v>53</v>
      </c>
      <c r="AF17" s="18" t="s">
        <v>53</v>
      </c>
      <c r="AG17" s="18" t="s">
        <v>53</v>
      </c>
      <c r="AH17" s="16" t="s">
        <v>51</v>
      </c>
      <c r="AI17" s="18" t="s">
        <v>53</v>
      </c>
      <c r="AJ17" s="16" t="s">
        <v>51</v>
      </c>
      <c r="AK17" s="26" t="s">
        <v>51</v>
      </c>
      <c r="AL17" s="16" t="s">
        <v>51</v>
      </c>
      <c r="AM17" s="16" t="s">
        <v>51</v>
      </c>
      <c r="AN17" s="18" t="s">
        <v>53</v>
      </c>
      <c r="AO17" s="16" t="s">
        <v>51</v>
      </c>
      <c r="AP17" s="16" t="s">
        <v>51</v>
      </c>
      <c r="AQ17" s="16" t="s">
        <v>51</v>
      </c>
      <c r="AR17" s="5">
        <f t="shared" si="0"/>
        <v>16</v>
      </c>
      <c r="AS17" s="5">
        <f t="shared" si="1"/>
        <v>25</v>
      </c>
      <c r="AT17" s="5">
        <f t="shared" si="2"/>
        <v>1</v>
      </c>
      <c r="AU17">
        <f t="shared" si="3"/>
        <v>0</v>
      </c>
      <c r="AV17">
        <f t="shared" si="4"/>
        <v>0</v>
      </c>
      <c r="AW17">
        <f t="shared" si="6"/>
        <v>42</v>
      </c>
    </row>
    <row r="18" spans="1:49" x14ac:dyDescent="0.35">
      <c r="A18" s="5" t="s">
        <v>70</v>
      </c>
      <c r="B18" s="16" t="s">
        <v>51</v>
      </c>
      <c r="C18" s="29" t="s">
        <v>51</v>
      </c>
      <c r="D18" s="16" t="s">
        <v>51</v>
      </c>
      <c r="E18" s="16" t="s">
        <v>51</v>
      </c>
      <c r="F18" s="16" t="s">
        <v>51</v>
      </c>
      <c r="G18" s="16" t="s">
        <v>50</v>
      </c>
      <c r="H18" s="16" t="s">
        <v>51</v>
      </c>
      <c r="I18" s="16" t="s">
        <v>50</v>
      </c>
      <c r="J18" s="26" t="s">
        <v>51</v>
      </c>
      <c r="K18" s="16" t="s">
        <v>51</v>
      </c>
      <c r="L18" s="16" t="s">
        <v>51</v>
      </c>
      <c r="M18" s="16" t="s">
        <v>51</v>
      </c>
      <c r="N18" s="16" t="s">
        <v>51</v>
      </c>
      <c r="O18" s="16" t="s">
        <v>50</v>
      </c>
      <c r="P18" s="16" t="s">
        <v>51</v>
      </c>
      <c r="Q18" s="16" t="s">
        <v>51</v>
      </c>
      <c r="R18" s="16" t="s">
        <v>51</v>
      </c>
      <c r="S18" s="16" t="s">
        <v>51</v>
      </c>
      <c r="T18" s="16" t="s">
        <v>51</v>
      </c>
      <c r="U18" s="38" t="s">
        <v>51</v>
      </c>
      <c r="V18" s="26" t="s">
        <v>50</v>
      </c>
      <c r="W18" s="26" t="s">
        <v>50</v>
      </c>
      <c r="X18" s="16" t="s">
        <v>50</v>
      </c>
      <c r="Y18" s="16" t="s">
        <v>51</v>
      </c>
      <c r="Z18" s="16" t="s">
        <v>51</v>
      </c>
      <c r="AA18" s="16" t="s">
        <v>51</v>
      </c>
      <c r="AB18" s="16" t="s">
        <v>50</v>
      </c>
      <c r="AC18" s="16" t="s">
        <v>51</v>
      </c>
      <c r="AD18" s="38" t="s">
        <v>50</v>
      </c>
      <c r="AE18" s="16" t="s">
        <v>51</v>
      </c>
      <c r="AF18" s="16" t="s">
        <v>50</v>
      </c>
      <c r="AG18" s="16" t="s">
        <v>50</v>
      </c>
      <c r="AH18" s="16" t="s">
        <v>51</v>
      </c>
      <c r="AI18" s="16" t="s">
        <v>51</v>
      </c>
      <c r="AJ18" s="16" t="s">
        <v>51</v>
      </c>
      <c r="AK18" s="16" t="s">
        <v>50</v>
      </c>
      <c r="AL18" s="16" t="s">
        <v>51</v>
      </c>
      <c r="AM18" s="16" t="s">
        <v>51</v>
      </c>
      <c r="AN18" s="16" t="s">
        <v>50</v>
      </c>
      <c r="AO18" s="16" t="s">
        <v>50</v>
      </c>
      <c r="AP18" s="16" t="s">
        <v>51</v>
      </c>
      <c r="AQ18" s="16" t="s">
        <v>51</v>
      </c>
      <c r="AR18" s="5">
        <f t="shared" si="0"/>
        <v>0</v>
      </c>
      <c r="AS18" s="5">
        <f t="shared" si="1"/>
        <v>29</v>
      </c>
      <c r="AT18" s="5">
        <f t="shared" si="2"/>
        <v>13</v>
      </c>
      <c r="AU18">
        <f t="shared" si="3"/>
        <v>0</v>
      </c>
      <c r="AV18">
        <f t="shared" si="4"/>
        <v>0</v>
      </c>
      <c r="AW18">
        <f t="shared" si="6"/>
        <v>42</v>
      </c>
    </row>
    <row r="19" spans="1:49" x14ac:dyDescent="0.35">
      <c r="A19" s="7" t="s">
        <v>71</v>
      </c>
      <c r="B19" s="18" t="s">
        <v>53</v>
      </c>
      <c r="C19" s="29" t="s">
        <v>51</v>
      </c>
      <c r="D19" s="18" t="s">
        <v>53</v>
      </c>
      <c r="E19" s="16" t="s">
        <v>51</v>
      </c>
      <c r="F19" s="16" t="s">
        <v>51</v>
      </c>
      <c r="G19" s="16" t="s">
        <v>51</v>
      </c>
      <c r="H19" s="16" t="s">
        <v>51</v>
      </c>
      <c r="I19" s="18" t="s">
        <v>53</v>
      </c>
      <c r="J19" s="16" t="s">
        <v>51</v>
      </c>
      <c r="K19" s="16" t="s">
        <v>51</v>
      </c>
      <c r="L19" s="16" t="s">
        <v>51</v>
      </c>
      <c r="M19" s="16" t="s">
        <v>50</v>
      </c>
      <c r="N19" s="18" t="s">
        <v>53</v>
      </c>
      <c r="O19" s="18" t="s">
        <v>53</v>
      </c>
      <c r="P19" s="26" t="s">
        <v>50</v>
      </c>
      <c r="Q19" s="18" t="s">
        <v>53</v>
      </c>
      <c r="R19" s="18" t="s">
        <v>53</v>
      </c>
      <c r="S19" s="18" t="s">
        <v>53</v>
      </c>
      <c r="T19" s="16" t="s">
        <v>51</v>
      </c>
      <c r="U19" s="18" t="s">
        <v>53</v>
      </c>
      <c r="V19" s="18" t="s">
        <v>53</v>
      </c>
      <c r="W19" s="18" t="s">
        <v>53</v>
      </c>
      <c r="X19" s="16" t="s">
        <v>50</v>
      </c>
      <c r="Y19" s="16" t="s">
        <v>50</v>
      </c>
      <c r="Z19" s="34" t="s">
        <v>51</v>
      </c>
      <c r="AA19" s="18" t="s">
        <v>53</v>
      </c>
      <c r="AB19" s="16" t="s">
        <v>50</v>
      </c>
      <c r="AC19" s="18" t="s">
        <v>53</v>
      </c>
      <c r="AD19" s="25" t="s">
        <v>53</v>
      </c>
      <c r="AE19" s="18" t="s">
        <v>53</v>
      </c>
      <c r="AF19" s="18" t="s">
        <v>53</v>
      </c>
      <c r="AG19" s="18" t="s">
        <v>53</v>
      </c>
      <c r="AH19" s="34" t="s">
        <v>51</v>
      </c>
      <c r="AI19" s="27" t="s">
        <v>53</v>
      </c>
      <c r="AJ19" s="16" t="s">
        <v>51</v>
      </c>
      <c r="AK19" s="16" t="s">
        <v>50</v>
      </c>
      <c r="AL19" s="16" t="s">
        <v>50</v>
      </c>
      <c r="AM19" s="16" t="s">
        <v>51</v>
      </c>
      <c r="AN19" s="16" t="s">
        <v>50</v>
      </c>
      <c r="AO19" s="18" t="s">
        <v>53</v>
      </c>
      <c r="AP19" s="34" t="s">
        <v>51</v>
      </c>
      <c r="AQ19" s="16" t="s">
        <v>51</v>
      </c>
      <c r="AR19" s="5">
        <f t="shared" si="0"/>
        <v>19</v>
      </c>
      <c r="AS19" s="5">
        <f t="shared" si="1"/>
        <v>15</v>
      </c>
      <c r="AT19" s="5">
        <f t="shared" si="2"/>
        <v>8</v>
      </c>
      <c r="AU19">
        <f t="shared" si="3"/>
        <v>0</v>
      </c>
      <c r="AV19">
        <f t="shared" si="4"/>
        <v>0</v>
      </c>
      <c r="AW19">
        <f t="shared" si="6"/>
        <v>42</v>
      </c>
    </row>
    <row r="20" spans="1:49" x14ac:dyDescent="0.35">
      <c r="A20" s="7" t="s">
        <v>72</v>
      </c>
      <c r="B20" s="16" t="s">
        <v>50</v>
      </c>
      <c r="C20" s="18" t="s">
        <v>53</v>
      </c>
      <c r="D20" s="16" t="s">
        <v>50</v>
      </c>
      <c r="E20" s="16" t="s">
        <v>50</v>
      </c>
      <c r="F20" s="16" t="s">
        <v>50</v>
      </c>
      <c r="G20" s="16" t="s">
        <v>50</v>
      </c>
      <c r="H20" s="16" t="s">
        <v>51</v>
      </c>
      <c r="I20" s="16" t="s">
        <v>50</v>
      </c>
      <c r="J20" s="27" t="s">
        <v>53</v>
      </c>
      <c r="K20" s="16" t="s">
        <v>50</v>
      </c>
      <c r="L20" s="16" t="s">
        <v>50</v>
      </c>
      <c r="M20" s="16" t="s">
        <v>50</v>
      </c>
      <c r="N20" s="18" t="s">
        <v>53</v>
      </c>
      <c r="O20" s="16" t="s">
        <v>50</v>
      </c>
      <c r="P20" s="16" t="s">
        <v>50</v>
      </c>
      <c r="Q20" s="18" t="s">
        <v>53</v>
      </c>
      <c r="R20" s="16" t="s">
        <v>50</v>
      </c>
      <c r="S20" s="18" t="s">
        <v>53</v>
      </c>
      <c r="T20" s="27" t="s">
        <v>53</v>
      </c>
      <c r="U20" s="27" t="s">
        <v>53</v>
      </c>
      <c r="V20" s="18" t="s">
        <v>53</v>
      </c>
      <c r="W20" s="16" t="s">
        <v>50</v>
      </c>
      <c r="X20" s="16" t="s">
        <v>50</v>
      </c>
      <c r="Y20" s="16" t="s">
        <v>50</v>
      </c>
      <c r="Z20" s="16" t="s">
        <v>50</v>
      </c>
      <c r="AA20" s="18" t="s">
        <v>53</v>
      </c>
      <c r="AB20" s="16" t="s">
        <v>50</v>
      </c>
      <c r="AC20" s="16" t="s">
        <v>50</v>
      </c>
      <c r="AD20" s="16" t="s">
        <v>50</v>
      </c>
      <c r="AE20" s="16" t="s">
        <v>50</v>
      </c>
      <c r="AF20" s="16" t="s">
        <v>50</v>
      </c>
      <c r="AG20" s="16" t="s">
        <v>50</v>
      </c>
      <c r="AH20" s="16" t="s">
        <v>50</v>
      </c>
      <c r="AI20" s="27" t="s">
        <v>53</v>
      </c>
      <c r="AJ20" s="16" t="s">
        <v>50</v>
      </c>
      <c r="AK20" s="16" t="s">
        <v>50</v>
      </c>
      <c r="AL20" s="16" t="s">
        <v>50</v>
      </c>
      <c r="AM20" s="16" t="s">
        <v>50</v>
      </c>
      <c r="AN20" s="16" t="s">
        <v>50</v>
      </c>
      <c r="AO20" s="16" t="s">
        <v>50</v>
      </c>
      <c r="AP20" s="28" t="s">
        <v>51</v>
      </c>
      <c r="AQ20" s="18" t="s">
        <v>53</v>
      </c>
      <c r="AR20" s="5">
        <f t="shared" si="0"/>
        <v>11</v>
      </c>
      <c r="AS20" s="5">
        <f t="shared" si="1"/>
        <v>2</v>
      </c>
      <c r="AT20" s="5">
        <f t="shared" si="2"/>
        <v>29</v>
      </c>
      <c r="AU20">
        <f t="shared" si="3"/>
        <v>0</v>
      </c>
      <c r="AV20">
        <f t="shared" si="4"/>
        <v>0</v>
      </c>
      <c r="AW20">
        <f t="shared" si="6"/>
        <v>42</v>
      </c>
    </row>
    <row r="21" spans="1:49" x14ac:dyDescent="0.35">
      <c r="A21" s="7" t="s">
        <v>73</v>
      </c>
      <c r="B21" s="19" t="s">
        <v>50</v>
      </c>
      <c r="C21" s="18" t="s">
        <v>53</v>
      </c>
      <c r="D21" s="16" t="s">
        <v>50</v>
      </c>
      <c r="E21" s="16" t="s">
        <v>50</v>
      </c>
      <c r="F21" s="16" t="s">
        <v>50</v>
      </c>
      <c r="G21" s="16" t="s">
        <v>50</v>
      </c>
      <c r="H21" s="18" t="s">
        <v>53</v>
      </c>
      <c r="I21" s="16" t="s">
        <v>50</v>
      </c>
      <c r="J21" s="27" t="s">
        <v>53</v>
      </c>
      <c r="K21" s="16" t="s">
        <v>50</v>
      </c>
      <c r="L21" s="16" t="s">
        <v>50</v>
      </c>
      <c r="M21" s="16" t="s">
        <v>50</v>
      </c>
      <c r="N21" s="18" t="s">
        <v>53</v>
      </c>
      <c r="O21" s="18" t="s">
        <v>53</v>
      </c>
      <c r="P21" s="16" t="s">
        <v>50</v>
      </c>
      <c r="Q21" s="16" t="s">
        <v>50</v>
      </c>
      <c r="R21" s="16" t="s">
        <v>50</v>
      </c>
      <c r="S21" s="16" t="s">
        <v>50</v>
      </c>
      <c r="T21" s="27" t="s">
        <v>53</v>
      </c>
      <c r="U21" s="27" t="s">
        <v>53</v>
      </c>
      <c r="V21" s="18" t="s">
        <v>53</v>
      </c>
      <c r="W21" s="16" t="s">
        <v>50</v>
      </c>
      <c r="X21" s="16" t="s">
        <v>50</v>
      </c>
      <c r="Y21" s="16" t="s">
        <v>50</v>
      </c>
      <c r="Z21" s="16" t="s">
        <v>50</v>
      </c>
      <c r="AA21" s="18" t="s">
        <v>53</v>
      </c>
      <c r="AB21" s="16" t="s">
        <v>50</v>
      </c>
      <c r="AC21" s="16" t="s">
        <v>50</v>
      </c>
      <c r="AD21" s="16" t="s">
        <v>50</v>
      </c>
      <c r="AE21" s="27" t="s">
        <v>53</v>
      </c>
      <c r="AF21" s="16" t="s">
        <v>50</v>
      </c>
      <c r="AG21" s="16" t="s">
        <v>50</v>
      </c>
      <c r="AH21" s="16" t="s">
        <v>50</v>
      </c>
      <c r="AI21" s="27" t="s">
        <v>53</v>
      </c>
      <c r="AJ21" s="16" t="s">
        <v>50</v>
      </c>
      <c r="AK21" s="16" t="s">
        <v>50</v>
      </c>
      <c r="AL21" s="16" t="s">
        <v>50</v>
      </c>
      <c r="AM21" s="16" t="s">
        <v>50</v>
      </c>
      <c r="AN21" s="16" t="s">
        <v>50</v>
      </c>
      <c r="AO21" s="16" t="s">
        <v>50</v>
      </c>
      <c r="AP21" s="28" t="s">
        <v>51</v>
      </c>
      <c r="AQ21" s="18" t="s">
        <v>53</v>
      </c>
      <c r="AR21" s="5">
        <f t="shared" si="0"/>
        <v>12</v>
      </c>
      <c r="AS21" s="5">
        <f t="shared" si="1"/>
        <v>1</v>
      </c>
      <c r="AT21" s="5">
        <f t="shared" si="2"/>
        <v>29</v>
      </c>
      <c r="AU21">
        <f t="shared" si="3"/>
        <v>0</v>
      </c>
      <c r="AV21">
        <f t="shared" si="4"/>
        <v>0</v>
      </c>
      <c r="AW21">
        <f t="shared" si="6"/>
        <v>42</v>
      </c>
    </row>
    <row r="22" spans="1:49" x14ac:dyDescent="0.35">
      <c r="A22" s="7" t="s">
        <v>74</v>
      </c>
      <c r="B22" s="19" t="s">
        <v>50</v>
      </c>
      <c r="C22" s="18" t="s">
        <v>53</v>
      </c>
      <c r="D22" s="16" t="s">
        <v>50</v>
      </c>
      <c r="E22" s="16" t="s">
        <v>50</v>
      </c>
      <c r="F22" s="18" t="s">
        <v>53</v>
      </c>
      <c r="G22" s="16" t="s">
        <v>50</v>
      </c>
      <c r="H22" s="18" t="s">
        <v>53</v>
      </c>
      <c r="I22" s="16" t="s">
        <v>50</v>
      </c>
      <c r="J22" s="27" t="s">
        <v>53</v>
      </c>
      <c r="K22" s="16" t="s">
        <v>50</v>
      </c>
      <c r="L22" s="16" t="s">
        <v>50</v>
      </c>
      <c r="M22" s="16" t="s">
        <v>50</v>
      </c>
      <c r="N22" s="18" t="s">
        <v>53</v>
      </c>
      <c r="O22" s="18" t="s">
        <v>53</v>
      </c>
      <c r="P22" s="16" t="s">
        <v>50</v>
      </c>
      <c r="Q22" s="16" t="s">
        <v>50</v>
      </c>
      <c r="R22" s="16" t="s">
        <v>50</v>
      </c>
      <c r="S22" s="16" t="s">
        <v>50</v>
      </c>
      <c r="T22" s="27" t="s">
        <v>53</v>
      </c>
      <c r="U22" s="27" t="s">
        <v>53</v>
      </c>
      <c r="V22" s="18" t="s">
        <v>53</v>
      </c>
      <c r="W22" s="16" t="s">
        <v>50</v>
      </c>
      <c r="X22" s="16" t="s">
        <v>50</v>
      </c>
      <c r="Y22" s="16" t="s">
        <v>50</v>
      </c>
      <c r="Z22" s="16" t="s">
        <v>50</v>
      </c>
      <c r="AA22" s="18" t="s">
        <v>53</v>
      </c>
      <c r="AB22" s="16" t="s">
        <v>50</v>
      </c>
      <c r="AC22" s="16" t="s">
        <v>50</v>
      </c>
      <c r="AD22" s="16" t="s">
        <v>50</v>
      </c>
      <c r="AE22" s="27" t="s">
        <v>53</v>
      </c>
      <c r="AF22" s="16" t="s">
        <v>50</v>
      </c>
      <c r="AG22" s="16" t="s">
        <v>50</v>
      </c>
      <c r="AH22" s="16" t="s">
        <v>50</v>
      </c>
      <c r="AI22" s="27" t="s">
        <v>53</v>
      </c>
      <c r="AJ22" s="16" t="s">
        <v>50</v>
      </c>
      <c r="AK22" s="16" t="s">
        <v>50</v>
      </c>
      <c r="AL22" s="16" t="s">
        <v>50</v>
      </c>
      <c r="AM22" s="16" t="s">
        <v>50</v>
      </c>
      <c r="AN22" s="16" t="s">
        <v>50</v>
      </c>
      <c r="AO22" s="16" t="s">
        <v>50</v>
      </c>
      <c r="AP22" s="18" t="s">
        <v>53</v>
      </c>
      <c r="AQ22" s="18" t="s">
        <v>53</v>
      </c>
      <c r="AR22" s="5">
        <f t="shared" si="0"/>
        <v>14</v>
      </c>
      <c r="AS22" s="5">
        <f t="shared" si="1"/>
        <v>0</v>
      </c>
      <c r="AT22" s="5">
        <f t="shared" si="2"/>
        <v>28</v>
      </c>
      <c r="AU22">
        <f t="shared" si="3"/>
        <v>0</v>
      </c>
      <c r="AV22">
        <f t="shared" si="4"/>
        <v>0</v>
      </c>
      <c r="AW22">
        <f t="shared" si="6"/>
        <v>42</v>
      </c>
    </row>
    <row r="23" spans="1:49" x14ac:dyDescent="0.35">
      <c r="A23" s="5" t="s">
        <v>75</v>
      </c>
      <c r="B23" s="16" t="s">
        <v>51</v>
      </c>
      <c r="C23" s="16" t="s">
        <v>51</v>
      </c>
      <c r="D23" s="16" t="s">
        <v>51</v>
      </c>
      <c r="E23" s="16" t="s">
        <v>51</v>
      </c>
      <c r="F23" s="26" t="s">
        <v>50</v>
      </c>
      <c r="G23" s="16" t="s">
        <v>51</v>
      </c>
      <c r="H23" s="16" t="s">
        <v>51</v>
      </c>
      <c r="I23" s="16" t="s">
        <v>51</v>
      </c>
      <c r="J23" s="16" t="s">
        <v>50</v>
      </c>
      <c r="K23" s="16" t="s">
        <v>51</v>
      </c>
      <c r="L23" s="16" t="s">
        <v>51</v>
      </c>
      <c r="M23" s="18" t="s">
        <v>53</v>
      </c>
      <c r="N23" s="16" t="s">
        <v>51</v>
      </c>
      <c r="O23" s="16" t="s">
        <v>50</v>
      </c>
      <c r="P23" s="16" t="s">
        <v>51</v>
      </c>
      <c r="Q23" s="18" t="s">
        <v>53</v>
      </c>
      <c r="R23" s="18" t="s">
        <v>53</v>
      </c>
      <c r="S23" s="16" t="s">
        <v>51</v>
      </c>
      <c r="T23" s="16" t="s">
        <v>51</v>
      </c>
      <c r="U23" s="18" t="s">
        <v>53</v>
      </c>
      <c r="V23" s="16" t="s">
        <v>51</v>
      </c>
      <c r="W23" s="16" t="s">
        <v>51</v>
      </c>
      <c r="X23" s="16" t="s">
        <v>51</v>
      </c>
      <c r="Y23" s="34" t="s">
        <v>50</v>
      </c>
      <c r="Z23" s="16" t="s">
        <v>51</v>
      </c>
      <c r="AA23" s="16" t="s">
        <v>51</v>
      </c>
      <c r="AB23" s="16" t="s">
        <v>51</v>
      </c>
      <c r="AC23" s="18" t="s">
        <v>53</v>
      </c>
      <c r="AD23" s="21" t="s">
        <v>51</v>
      </c>
      <c r="AE23" s="16" t="s">
        <v>51</v>
      </c>
      <c r="AF23" s="16" t="s">
        <v>51</v>
      </c>
      <c r="AG23" s="18" t="s">
        <v>53</v>
      </c>
      <c r="AH23" s="18" t="s">
        <v>53</v>
      </c>
      <c r="AI23" s="16" t="s">
        <v>51</v>
      </c>
      <c r="AJ23" s="16" t="s">
        <v>51</v>
      </c>
      <c r="AK23" s="16" t="s">
        <v>51</v>
      </c>
      <c r="AL23" s="28" t="s">
        <v>51</v>
      </c>
      <c r="AM23" s="18" t="s">
        <v>53</v>
      </c>
      <c r="AN23" s="16" t="s">
        <v>51</v>
      </c>
      <c r="AO23" s="28" t="s">
        <v>51</v>
      </c>
      <c r="AP23" s="16" t="s">
        <v>50</v>
      </c>
      <c r="AQ23" s="18" t="s">
        <v>53</v>
      </c>
      <c r="AR23" s="5">
        <f t="shared" si="0"/>
        <v>9</v>
      </c>
      <c r="AS23" s="5">
        <f t="shared" si="1"/>
        <v>28</v>
      </c>
      <c r="AT23" s="5">
        <f t="shared" si="2"/>
        <v>5</v>
      </c>
      <c r="AU23">
        <f t="shared" si="3"/>
        <v>0</v>
      </c>
      <c r="AV23">
        <f t="shared" si="4"/>
        <v>0</v>
      </c>
      <c r="AW23">
        <f t="shared" si="6"/>
        <v>42</v>
      </c>
    </row>
    <row r="24" spans="1:49" x14ac:dyDescent="0.35">
      <c r="A24" s="5" t="s">
        <v>76</v>
      </c>
      <c r="B24" s="18" t="s">
        <v>53</v>
      </c>
      <c r="C24" s="30" t="s">
        <v>53</v>
      </c>
      <c r="D24" s="31" t="s">
        <v>53</v>
      </c>
      <c r="E24" s="18" t="s">
        <v>53</v>
      </c>
      <c r="F24" s="16" t="s">
        <v>50</v>
      </c>
      <c r="G24" s="16" t="s">
        <v>51</v>
      </c>
      <c r="H24" s="16" t="s">
        <v>51</v>
      </c>
      <c r="I24" s="16" t="s">
        <v>51</v>
      </c>
      <c r="J24" s="16" t="s">
        <v>50</v>
      </c>
      <c r="K24" s="18" t="s">
        <v>53</v>
      </c>
      <c r="L24" s="16" t="s">
        <v>51</v>
      </c>
      <c r="M24" s="18" t="s">
        <v>53</v>
      </c>
      <c r="N24" s="31" t="s">
        <v>53</v>
      </c>
      <c r="O24" s="18" t="s">
        <v>53</v>
      </c>
      <c r="P24" s="18" t="s">
        <v>53</v>
      </c>
      <c r="Q24" s="18" t="s">
        <v>53</v>
      </c>
      <c r="R24" s="18" t="s">
        <v>53</v>
      </c>
      <c r="S24" s="18" t="s">
        <v>53</v>
      </c>
      <c r="T24" s="16" t="s">
        <v>51</v>
      </c>
      <c r="U24" s="18" t="s">
        <v>53</v>
      </c>
      <c r="V24" s="18" t="s">
        <v>53</v>
      </c>
      <c r="W24" s="18" t="s">
        <v>53</v>
      </c>
      <c r="X24" s="18" t="s">
        <v>53</v>
      </c>
      <c r="Y24" s="18" t="s">
        <v>53</v>
      </c>
      <c r="Z24" s="34" t="s">
        <v>51</v>
      </c>
      <c r="AA24" s="22" t="s">
        <v>53</v>
      </c>
      <c r="AB24" s="22" t="s">
        <v>53</v>
      </c>
      <c r="AC24" s="18" t="s">
        <v>53</v>
      </c>
      <c r="AD24" s="25" t="s">
        <v>53</v>
      </c>
      <c r="AE24" s="18" t="s">
        <v>53</v>
      </c>
      <c r="AF24" s="18" t="s">
        <v>53</v>
      </c>
      <c r="AG24" s="18" t="s">
        <v>53</v>
      </c>
      <c r="AH24" s="18" t="s">
        <v>53</v>
      </c>
      <c r="AI24" s="18" t="s">
        <v>53</v>
      </c>
      <c r="AJ24" s="18" t="s">
        <v>53</v>
      </c>
      <c r="AK24" s="18" t="s">
        <v>53</v>
      </c>
      <c r="AL24" s="28" t="s">
        <v>51</v>
      </c>
      <c r="AM24" s="18" t="s">
        <v>53</v>
      </c>
      <c r="AN24" s="18" t="s">
        <v>53</v>
      </c>
      <c r="AO24" s="18" t="s">
        <v>53</v>
      </c>
      <c r="AP24" s="18" t="s">
        <v>53</v>
      </c>
      <c r="AQ24" s="18" t="s">
        <v>53</v>
      </c>
      <c r="AR24" s="5">
        <f t="shared" si="0"/>
        <v>33</v>
      </c>
      <c r="AS24" s="5">
        <f t="shared" si="1"/>
        <v>7</v>
      </c>
      <c r="AT24" s="5">
        <f t="shared" si="2"/>
        <v>2</v>
      </c>
      <c r="AU24">
        <f t="shared" si="3"/>
        <v>0</v>
      </c>
      <c r="AV24">
        <f t="shared" si="4"/>
        <v>0</v>
      </c>
      <c r="AW24">
        <f t="shared" si="6"/>
        <v>42</v>
      </c>
    </row>
    <row r="25" spans="1:49" x14ac:dyDescent="0.35">
      <c r="A25" s="5" t="s">
        <v>77</v>
      </c>
      <c r="B25" s="16" t="s">
        <v>51</v>
      </c>
      <c r="C25" s="16" t="s">
        <v>51</v>
      </c>
      <c r="D25" s="16" t="s">
        <v>51</v>
      </c>
      <c r="E25" s="27" t="s">
        <v>53</v>
      </c>
      <c r="F25" s="16" t="s">
        <v>50</v>
      </c>
      <c r="G25" s="16" t="s">
        <v>51</v>
      </c>
      <c r="H25" s="16" t="s">
        <v>51</v>
      </c>
      <c r="I25" s="16" t="s">
        <v>51</v>
      </c>
      <c r="J25" s="16" t="s">
        <v>51</v>
      </c>
      <c r="K25" s="16" t="s">
        <v>51</v>
      </c>
      <c r="L25" s="26" t="s">
        <v>51</v>
      </c>
      <c r="M25" s="18" t="s">
        <v>53</v>
      </c>
      <c r="N25" s="16" t="s">
        <v>51</v>
      </c>
      <c r="O25" s="16" t="s">
        <v>50</v>
      </c>
      <c r="P25" s="16" t="s">
        <v>51</v>
      </c>
      <c r="Q25" s="16" t="s">
        <v>51</v>
      </c>
      <c r="R25" s="16" t="s">
        <v>51</v>
      </c>
      <c r="S25" s="16" t="s">
        <v>51</v>
      </c>
      <c r="T25" s="16" t="s">
        <v>51</v>
      </c>
      <c r="U25" s="16" t="s">
        <v>51</v>
      </c>
      <c r="V25" s="34" t="s">
        <v>50</v>
      </c>
      <c r="W25" s="16" t="s">
        <v>51</v>
      </c>
      <c r="X25" s="16" t="s">
        <v>51</v>
      </c>
      <c r="Y25" s="16" t="s">
        <v>51</v>
      </c>
      <c r="Z25" s="18" t="s">
        <v>53</v>
      </c>
      <c r="AA25" s="26" t="s">
        <v>50</v>
      </c>
      <c r="AB25" s="16" t="s">
        <v>51</v>
      </c>
      <c r="AC25" s="26" t="s">
        <v>51</v>
      </c>
      <c r="AD25" s="21" t="s">
        <v>51</v>
      </c>
      <c r="AE25" s="16" t="s">
        <v>51</v>
      </c>
      <c r="AF25" s="16" t="s">
        <v>51</v>
      </c>
      <c r="AG25" s="16" t="s">
        <v>51</v>
      </c>
      <c r="AH25" s="16" t="s">
        <v>51</v>
      </c>
      <c r="AI25" s="16" t="s">
        <v>51</v>
      </c>
      <c r="AJ25" s="16" t="s">
        <v>51</v>
      </c>
      <c r="AK25" s="16" t="s">
        <v>51</v>
      </c>
      <c r="AL25" s="28" t="s">
        <v>51</v>
      </c>
      <c r="AM25" s="16" t="s">
        <v>51</v>
      </c>
      <c r="AN25" s="16" t="s">
        <v>51</v>
      </c>
      <c r="AO25" s="16" t="s">
        <v>51</v>
      </c>
      <c r="AP25" s="16" t="s">
        <v>51</v>
      </c>
      <c r="AQ25" s="16" t="s">
        <v>51</v>
      </c>
      <c r="AR25" s="5">
        <f t="shared" si="0"/>
        <v>3</v>
      </c>
      <c r="AS25" s="5">
        <f t="shared" si="1"/>
        <v>35</v>
      </c>
      <c r="AT25" s="5">
        <f t="shared" si="2"/>
        <v>4</v>
      </c>
      <c r="AU25">
        <f t="shared" si="3"/>
        <v>0</v>
      </c>
      <c r="AV25">
        <f t="shared" si="4"/>
        <v>0</v>
      </c>
      <c r="AW25">
        <f t="shared" si="6"/>
        <v>42</v>
      </c>
    </row>
    <row r="26" spans="1:49" x14ac:dyDescent="0.35">
      <c r="A26" s="5" t="s">
        <v>78</v>
      </c>
      <c r="B26" s="18" t="s">
        <v>53</v>
      </c>
      <c r="C26" s="16" t="s">
        <v>51</v>
      </c>
      <c r="D26" s="18" t="s">
        <v>53</v>
      </c>
      <c r="E26" s="18" t="s">
        <v>53</v>
      </c>
      <c r="F26" s="16" t="s">
        <v>50</v>
      </c>
      <c r="G26" s="16" t="s">
        <v>51</v>
      </c>
      <c r="H26" s="18" t="s">
        <v>53</v>
      </c>
      <c r="I26" s="16" t="s">
        <v>51</v>
      </c>
      <c r="J26" s="18" t="s">
        <v>53</v>
      </c>
      <c r="K26" s="16" t="s">
        <v>51</v>
      </c>
      <c r="L26" s="16" t="s">
        <v>51</v>
      </c>
      <c r="M26" s="18" t="s">
        <v>53</v>
      </c>
      <c r="N26" s="16" t="s">
        <v>51</v>
      </c>
      <c r="O26" s="18" t="s">
        <v>53</v>
      </c>
      <c r="P26" s="18" t="s">
        <v>53</v>
      </c>
      <c r="Q26" s="16" t="s">
        <v>51</v>
      </c>
      <c r="R26" s="16" t="s">
        <v>51</v>
      </c>
      <c r="S26" s="16" t="s">
        <v>51</v>
      </c>
      <c r="T26" s="16" t="s">
        <v>51</v>
      </c>
      <c r="U26" s="16" t="s">
        <v>63</v>
      </c>
      <c r="V26" s="18" t="s">
        <v>53</v>
      </c>
      <c r="W26" s="18" t="s">
        <v>53</v>
      </c>
      <c r="X26" s="18" t="s">
        <v>53</v>
      </c>
      <c r="Y26" s="18" t="s">
        <v>53</v>
      </c>
      <c r="Z26" s="34" t="s">
        <v>51</v>
      </c>
      <c r="AA26" s="18" t="s">
        <v>53</v>
      </c>
      <c r="AB26" s="18" t="s">
        <v>53</v>
      </c>
      <c r="AC26" s="18" t="s">
        <v>53</v>
      </c>
      <c r="AD26" s="25" t="s">
        <v>53</v>
      </c>
      <c r="AE26" s="18" t="s">
        <v>53</v>
      </c>
      <c r="AF26" s="18" t="s">
        <v>53</v>
      </c>
      <c r="AG26" s="18" t="s">
        <v>53</v>
      </c>
      <c r="AH26" s="18" t="s">
        <v>53</v>
      </c>
      <c r="AI26" s="28" t="s">
        <v>51</v>
      </c>
      <c r="AJ26" s="18" t="s">
        <v>53</v>
      </c>
      <c r="AK26" s="18" t="s">
        <v>53</v>
      </c>
      <c r="AL26" s="28" t="s">
        <v>51</v>
      </c>
      <c r="AM26" s="18" t="s">
        <v>53</v>
      </c>
      <c r="AN26" s="18" t="s">
        <v>53</v>
      </c>
      <c r="AO26" s="18" t="s">
        <v>53</v>
      </c>
      <c r="AP26" s="18" t="s">
        <v>53</v>
      </c>
      <c r="AQ26" s="18" t="s">
        <v>53</v>
      </c>
      <c r="AR26" s="5">
        <f t="shared" si="0"/>
        <v>27</v>
      </c>
      <c r="AS26" s="5">
        <f t="shared" si="1"/>
        <v>13</v>
      </c>
      <c r="AT26" s="5">
        <f t="shared" si="2"/>
        <v>1</v>
      </c>
      <c r="AU26">
        <f t="shared" si="3"/>
        <v>1</v>
      </c>
      <c r="AV26">
        <f t="shared" si="4"/>
        <v>0</v>
      </c>
      <c r="AW26">
        <f t="shared" si="6"/>
        <v>42</v>
      </c>
    </row>
    <row r="27" spans="1:49" x14ac:dyDescent="0.35">
      <c r="A27" s="5" t="s">
        <v>79</v>
      </c>
      <c r="B27" s="18" t="s">
        <v>53</v>
      </c>
      <c r="C27" s="16" t="s">
        <v>51</v>
      </c>
      <c r="D27" s="16" t="s">
        <v>51</v>
      </c>
      <c r="E27" s="16" t="s">
        <v>51</v>
      </c>
      <c r="F27" s="16" t="s">
        <v>50</v>
      </c>
      <c r="G27" s="16" t="s">
        <v>51</v>
      </c>
      <c r="H27" s="28" t="s">
        <v>51</v>
      </c>
      <c r="I27" s="16" t="s">
        <v>51</v>
      </c>
      <c r="J27" s="26" t="s">
        <v>51</v>
      </c>
      <c r="K27" s="16" t="s">
        <v>51</v>
      </c>
      <c r="L27" s="16" t="s">
        <v>51</v>
      </c>
      <c r="M27" s="18" t="s">
        <v>53</v>
      </c>
      <c r="N27" s="16" t="s">
        <v>51</v>
      </c>
      <c r="O27" s="16" t="s">
        <v>51</v>
      </c>
      <c r="P27" s="16" t="s">
        <v>51</v>
      </c>
      <c r="Q27" s="34" t="s">
        <v>51</v>
      </c>
      <c r="R27" s="16" t="s">
        <v>51</v>
      </c>
      <c r="S27" s="16" t="s">
        <v>51</v>
      </c>
      <c r="T27" s="16" t="s">
        <v>51</v>
      </c>
      <c r="U27" s="16" t="s">
        <v>51</v>
      </c>
      <c r="V27" s="18" t="s">
        <v>53</v>
      </c>
      <c r="W27" s="16" t="s">
        <v>51</v>
      </c>
      <c r="X27" s="18" t="s">
        <v>53</v>
      </c>
      <c r="Y27" s="18" t="s">
        <v>53</v>
      </c>
      <c r="Z27" s="34" t="s">
        <v>51</v>
      </c>
      <c r="AA27" s="16" t="s">
        <v>51</v>
      </c>
      <c r="AB27" s="16" t="s">
        <v>51</v>
      </c>
      <c r="AC27" s="28" t="s">
        <v>51</v>
      </c>
      <c r="AD27" s="21" t="s">
        <v>51</v>
      </c>
      <c r="AE27" s="16" t="s">
        <v>51</v>
      </c>
      <c r="AF27" s="16" t="s">
        <v>51</v>
      </c>
      <c r="AG27" s="18" t="s">
        <v>53</v>
      </c>
      <c r="AH27" s="16" t="s">
        <v>51</v>
      </c>
      <c r="AI27" s="16" t="s">
        <v>51</v>
      </c>
      <c r="AJ27" s="16" t="s">
        <v>51</v>
      </c>
      <c r="AK27" s="18" t="s">
        <v>53</v>
      </c>
      <c r="AL27" s="28" t="s">
        <v>51</v>
      </c>
      <c r="AM27" s="16" t="s">
        <v>51</v>
      </c>
      <c r="AN27" s="16" t="s">
        <v>51</v>
      </c>
      <c r="AO27" s="16" t="s">
        <v>51</v>
      </c>
      <c r="AP27" s="16" t="s">
        <v>51</v>
      </c>
      <c r="AQ27" s="16" t="s">
        <v>51</v>
      </c>
      <c r="AR27" s="5">
        <f t="shared" si="0"/>
        <v>7</v>
      </c>
      <c r="AS27" s="5">
        <f t="shared" si="1"/>
        <v>34</v>
      </c>
      <c r="AT27" s="5">
        <f t="shared" si="2"/>
        <v>1</v>
      </c>
      <c r="AU27">
        <f t="shared" si="3"/>
        <v>0</v>
      </c>
      <c r="AV27">
        <f t="shared" si="4"/>
        <v>0</v>
      </c>
      <c r="AW27">
        <f t="shared" si="6"/>
        <v>42</v>
      </c>
    </row>
    <row r="28" spans="1:49" x14ac:dyDescent="0.35">
      <c r="A28" s="7" t="s">
        <v>80</v>
      </c>
      <c r="B28" s="18" t="s">
        <v>53</v>
      </c>
      <c r="C28" s="18" t="s">
        <v>53</v>
      </c>
      <c r="D28" s="18" t="s">
        <v>53</v>
      </c>
      <c r="E28" s="18" t="s">
        <v>53</v>
      </c>
      <c r="F28" s="18" t="s">
        <v>53</v>
      </c>
      <c r="G28" s="18" t="s">
        <v>53</v>
      </c>
      <c r="H28" s="18" t="s">
        <v>53</v>
      </c>
      <c r="I28" s="18" t="s">
        <v>53</v>
      </c>
      <c r="J28" s="18" t="s">
        <v>53</v>
      </c>
      <c r="K28" s="18" t="s">
        <v>53</v>
      </c>
      <c r="L28" s="18" t="s">
        <v>53</v>
      </c>
      <c r="M28" s="18" t="s">
        <v>53</v>
      </c>
      <c r="N28" s="18" t="s">
        <v>53</v>
      </c>
      <c r="O28" s="18" t="s">
        <v>53</v>
      </c>
      <c r="P28" s="18" t="s">
        <v>53</v>
      </c>
      <c r="Q28" s="18" t="s">
        <v>53</v>
      </c>
      <c r="R28" s="18" t="s">
        <v>53</v>
      </c>
      <c r="S28" s="18" t="s">
        <v>53</v>
      </c>
      <c r="T28" s="18" t="s">
        <v>53</v>
      </c>
      <c r="U28" s="18" t="s">
        <v>53</v>
      </c>
      <c r="V28" s="18" t="s">
        <v>53</v>
      </c>
      <c r="W28" s="18" t="s">
        <v>53</v>
      </c>
      <c r="X28" s="16" t="s">
        <v>50</v>
      </c>
      <c r="Y28" s="18" t="s">
        <v>53</v>
      </c>
      <c r="Z28" s="18" t="s">
        <v>53</v>
      </c>
      <c r="AA28" s="18" t="s">
        <v>53</v>
      </c>
      <c r="AB28" s="18" t="s">
        <v>53</v>
      </c>
      <c r="AC28" s="18" t="s">
        <v>53</v>
      </c>
      <c r="AD28" s="25" t="s">
        <v>53</v>
      </c>
      <c r="AE28" s="18" t="s">
        <v>53</v>
      </c>
      <c r="AF28" s="18" t="s">
        <v>53</v>
      </c>
      <c r="AG28" s="18" t="s">
        <v>53</v>
      </c>
      <c r="AH28" s="18" t="s">
        <v>53</v>
      </c>
      <c r="AI28" s="16" t="s">
        <v>50</v>
      </c>
      <c r="AJ28" s="18" t="s">
        <v>53</v>
      </c>
      <c r="AK28" s="16" t="s">
        <v>50</v>
      </c>
      <c r="AL28" s="18" t="s">
        <v>53</v>
      </c>
      <c r="AM28" s="18" t="s">
        <v>53</v>
      </c>
      <c r="AN28" s="18" t="s">
        <v>53</v>
      </c>
      <c r="AO28" s="18" t="s">
        <v>53</v>
      </c>
      <c r="AP28" s="18" t="s">
        <v>53</v>
      </c>
      <c r="AQ28" s="18" t="s">
        <v>53</v>
      </c>
      <c r="AR28" s="5">
        <f t="shared" si="0"/>
        <v>39</v>
      </c>
      <c r="AS28" s="5">
        <f t="shared" si="1"/>
        <v>0</v>
      </c>
      <c r="AT28" s="5">
        <f t="shared" si="2"/>
        <v>3</v>
      </c>
      <c r="AU28">
        <f t="shared" si="3"/>
        <v>0</v>
      </c>
      <c r="AV28">
        <f t="shared" si="4"/>
        <v>0</v>
      </c>
      <c r="AW28">
        <f t="shared" si="6"/>
        <v>42</v>
      </c>
    </row>
    <row r="29" spans="1:49" x14ac:dyDescent="0.35">
      <c r="A29" s="7" t="s">
        <v>81</v>
      </c>
      <c r="B29" s="18" t="s">
        <v>53</v>
      </c>
      <c r="C29" s="18" t="s">
        <v>53</v>
      </c>
      <c r="D29" s="18" t="s">
        <v>53</v>
      </c>
      <c r="E29" s="18" t="s">
        <v>53</v>
      </c>
      <c r="F29" s="18" t="s">
        <v>53</v>
      </c>
      <c r="G29" s="18" t="s">
        <v>53</v>
      </c>
      <c r="H29" s="18" t="s">
        <v>53</v>
      </c>
      <c r="I29" s="18" t="s">
        <v>53</v>
      </c>
      <c r="J29" s="18" t="s">
        <v>53</v>
      </c>
      <c r="K29" s="18" t="s">
        <v>53</v>
      </c>
      <c r="L29" s="18" t="s">
        <v>53</v>
      </c>
      <c r="M29" s="18" t="s">
        <v>53</v>
      </c>
      <c r="N29" s="18" t="s">
        <v>53</v>
      </c>
      <c r="O29" s="18" t="s">
        <v>53</v>
      </c>
      <c r="P29" s="18" t="s">
        <v>53</v>
      </c>
      <c r="Q29" s="16" t="s">
        <v>50</v>
      </c>
      <c r="R29" s="18" t="s">
        <v>53</v>
      </c>
      <c r="S29" s="18" t="s">
        <v>53</v>
      </c>
      <c r="T29" s="18" t="s">
        <v>53</v>
      </c>
      <c r="U29" s="16" t="s">
        <v>63</v>
      </c>
      <c r="V29" s="18" t="s">
        <v>53</v>
      </c>
      <c r="W29" s="18" t="s">
        <v>53</v>
      </c>
      <c r="X29" s="18" t="s">
        <v>53</v>
      </c>
      <c r="Y29" s="18" t="s">
        <v>53</v>
      </c>
      <c r="Z29" s="18" t="s">
        <v>53</v>
      </c>
      <c r="AA29" s="22" t="s">
        <v>53</v>
      </c>
      <c r="AB29" s="18" t="s">
        <v>53</v>
      </c>
      <c r="AC29" s="18" t="s">
        <v>53</v>
      </c>
      <c r="AD29" s="25" t="s">
        <v>53</v>
      </c>
      <c r="AE29" s="18" t="s">
        <v>53</v>
      </c>
      <c r="AF29" s="18" t="s">
        <v>53</v>
      </c>
      <c r="AG29" s="22" t="s">
        <v>53</v>
      </c>
      <c r="AH29" s="18" t="s">
        <v>53</v>
      </c>
      <c r="AI29" s="18" t="s">
        <v>53</v>
      </c>
      <c r="AJ29" s="16" t="s">
        <v>50</v>
      </c>
      <c r="AK29" s="18" t="s">
        <v>53</v>
      </c>
      <c r="AL29" s="18" t="s">
        <v>53</v>
      </c>
      <c r="AM29" s="18" t="s">
        <v>53</v>
      </c>
      <c r="AN29" s="18" t="s">
        <v>53</v>
      </c>
      <c r="AO29" s="18" t="s">
        <v>53</v>
      </c>
      <c r="AP29" s="18" t="s">
        <v>53</v>
      </c>
      <c r="AQ29" s="18" t="s">
        <v>53</v>
      </c>
      <c r="AR29" s="5">
        <f t="shared" si="0"/>
        <v>39</v>
      </c>
      <c r="AS29" s="5">
        <f t="shared" si="1"/>
        <v>0</v>
      </c>
      <c r="AT29" s="5">
        <f t="shared" si="2"/>
        <v>2</v>
      </c>
      <c r="AU29">
        <f t="shared" si="3"/>
        <v>1</v>
      </c>
      <c r="AV29">
        <f t="shared" si="4"/>
        <v>0</v>
      </c>
      <c r="AW29">
        <f t="shared" si="6"/>
        <v>42</v>
      </c>
    </row>
    <row r="30" spans="1:49" x14ac:dyDescent="0.35">
      <c r="A30" s="7" t="s">
        <v>82</v>
      </c>
      <c r="B30" s="16" t="s">
        <v>50</v>
      </c>
      <c r="C30" s="16" t="s">
        <v>50</v>
      </c>
      <c r="D30" s="16" t="s">
        <v>50</v>
      </c>
      <c r="E30" s="16" t="s">
        <v>50</v>
      </c>
      <c r="F30" s="16" t="s">
        <v>50</v>
      </c>
      <c r="G30" s="16" t="s">
        <v>50</v>
      </c>
      <c r="H30" s="16" t="s">
        <v>50</v>
      </c>
      <c r="I30" s="16" t="s">
        <v>50</v>
      </c>
      <c r="J30" s="16" t="s">
        <v>50</v>
      </c>
      <c r="K30" s="16" t="s">
        <v>50</v>
      </c>
      <c r="L30" s="16" t="s">
        <v>50</v>
      </c>
      <c r="M30" s="16" t="s">
        <v>50</v>
      </c>
      <c r="N30" s="16" t="s">
        <v>51</v>
      </c>
      <c r="O30" s="16" t="s">
        <v>50</v>
      </c>
      <c r="P30" s="16" t="s">
        <v>50</v>
      </c>
      <c r="Q30" s="16" t="s">
        <v>50</v>
      </c>
      <c r="R30" s="16" t="s">
        <v>50</v>
      </c>
      <c r="S30" s="16" t="s">
        <v>50</v>
      </c>
      <c r="T30" s="16" t="s">
        <v>50</v>
      </c>
      <c r="U30" s="16" t="s">
        <v>50</v>
      </c>
      <c r="V30" s="16" t="s">
        <v>50</v>
      </c>
      <c r="W30" s="16" t="s">
        <v>50</v>
      </c>
      <c r="X30" s="16" t="s">
        <v>50</v>
      </c>
      <c r="Y30" s="16" t="s">
        <v>50</v>
      </c>
      <c r="Z30" s="16" t="s">
        <v>50</v>
      </c>
      <c r="AA30" s="16" t="s">
        <v>50</v>
      </c>
      <c r="AB30" s="16" t="s">
        <v>50</v>
      </c>
      <c r="AC30" s="16" t="s">
        <v>50</v>
      </c>
      <c r="AD30" s="16" t="s">
        <v>50</v>
      </c>
      <c r="AE30" s="16" t="s">
        <v>50</v>
      </c>
      <c r="AF30" s="16" t="s">
        <v>50</v>
      </c>
      <c r="AG30" s="16" t="s">
        <v>50</v>
      </c>
      <c r="AH30" s="16" t="s">
        <v>50</v>
      </c>
      <c r="AI30" s="16" t="s">
        <v>50</v>
      </c>
      <c r="AJ30" s="16" t="s">
        <v>50</v>
      </c>
      <c r="AK30" s="16" t="s">
        <v>50</v>
      </c>
      <c r="AL30" s="16" t="s">
        <v>50</v>
      </c>
      <c r="AM30" s="16" t="s">
        <v>50</v>
      </c>
      <c r="AN30" s="16" t="s">
        <v>50</v>
      </c>
      <c r="AO30" s="16" t="s">
        <v>50</v>
      </c>
      <c r="AP30" s="16" t="s">
        <v>50</v>
      </c>
      <c r="AQ30" s="16" t="s">
        <v>50</v>
      </c>
      <c r="AR30" s="5">
        <f t="shared" si="0"/>
        <v>0</v>
      </c>
      <c r="AS30" s="5">
        <f t="shared" si="1"/>
        <v>1</v>
      </c>
      <c r="AT30" s="5">
        <f t="shared" si="2"/>
        <v>41</v>
      </c>
      <c r="AU30">
        <f t="shared" si="3"/>
        <v>0</v>
      </c>
      <c r="AV30">
        <f t="shared" si="4"/>
        <v>0</v>
      </c>
      <c r="AW30">
        <f t="shared" si="6"/>
        <v>42</v>
      </c>
    </row>
    <row r="31" spans="1:49" ht="29" x14ac:dyDescent="0.35">
      <c r="A31" s="7" t="s">
        <v>83</v>
      </c>
      <c r="B31" s="16" t="s">
        <v>50</v>
      </c>
      <c r="C31" s="16" t="s">
        <v>51</v>
      </c>
      <c r="D31" s="16" t="s">
        <v>51</v>
      </c>
      <c r="E31" s="28" t="s">
        <v>51</v>
      </c>
      <c r="F31" s="16" t="s">
        <v>50</v>
      </c>
      <c r="G31" s="16" t="s">
        <v>51</v>
      </c>
      <c r="H31" s="16" t="s">
        <v>51</v>
      </c>
      <c r="I31" s="16" t="s">
        <v>51</v>
      </c>
      <c r="J31" s="16" t="s">
        <v>51</v>
      </c>
      <c r="K31" s="28" t="s">
        <v>51</v>
      </c>
      <c r="L31" s="16" t="s">
        <v>51</v>
      </c>
      <c r="M31" s="16" t="s">
        <v>50</v>
      </c>
      <c r="N31" s="16" t="s">
        <v>50</v>
      </c>
      <c r="O31" s="16" t="s">
        <v>50</v>
      </c>
      <c r="P31" s="16" t="s">
        <v>51</v>
      </c>
      <c r="Q31" s="16" t="s">
        <v>51</v>
      </c>
      <c r="R31" s="16" t="s">
        <v>50</v>
      </c>
      <c r="S31" s="16" t="s">
        <v>51</v>
      </c>
      <c r="T31" s="26" t="s">
        <v>50</v>
      </c>
      <c r="U31" s="16" t="s">
        <v>51</v>
      </c>
      <c r="V31" s="16" t="s">
        <v>51</v>
      </c>
      <c r="W31" s="16" t="s">
        <v>51</v>
      </c>
      <c r="X31" s="16" t="s">
        <v>50</v>
      </c>
      <c r="Y31" s="16" t="s">
        <v>50</v>
      </c>
      <c r="Z31" s="16" t="s">
        <v>51</v>
      </c>
      <c r="AA31" s="28" t="s">
        <v>51</v>
      </c>
      <c r="AB31" s="16" t="s">
        <v>50</v>
      </c>
      <c r="AC31" s="16" t="s">
        <v>50</v>
      </c>
      <c r="AD31" s="16" t="s">
        <v>50</v>
      </c>
      <c r="AE31" s="16" t="s">
        <v>50</v>
      </c>
      <c r="AF31" s="16" t="s">
        <v>51</v>
      </c>
      <c r="AG31" s="16" t="s">
        <v>51</v>
      </c>
      <c r="AH31" s="16" t="s">
        <v>51</v>
      </c>
      <c r="AI31" s="16" t="s">
        <v>50</v>
      </c>
      <c r="AJ31" s="16" t="s">
        <v>50</v>
      </c>
      <c r="AK31" s="16" t="s">
        <v>50</v>
      </c>
      <c r="AL31" s="16" t="s">
        <v>50</v>
      </c>
      <c r="AM31" s="16" t="s">
        <v>50</v>
      </c>
      <c r="AN31" s="16" t="s">
        <v>50</v>
      </c>
      <c r="AO31" s="16" t="s">
        <v>50</v>
      </c>
      <c r="AP31" s="16" t="s">
        <v>50</v>
      </c>
      <c r="AQ31" s="16" t="s">
        <v>50</v>
      </c>
      <c r="AR31" s="5">
        <f t="shared" si="0"/>
        <v>0</v>
      </c>
      <c r="AS31" s="5">
        <f t="shared" si="1"/>
        <v>20</v>
      </c>
      <c r="AT31" s="5">
        <f t="shared" si="2"/>
        <v>22</v>
      </c>
      <c r="AU31">
        <f t="shared" si="3"/>
        <v>0</v>
      </c>
      <c r="AV31">
        <f t="shared" si="4"/>
        <v>0</v>
      </c>
      <c r="AW31">
        <f t="shared" si="6"/>
        <v>42</v>
      </c>
    </row>
    <row r="32" spans="1:49" x14ac:dyDescent="0.35">
      <c r="A32" s="5" t="s">
        <v>84</v>
      </c>
      <c r="B32" s="18" t="s">
        <v>53</v>
      </c>
      <c r="C32" s="18" t="s">
        <v>53</v>
      </c>
      <c r="D32" s="18" t="s">
        <v>53</v>
      </c>
      <c r="E32" s="18" t="s">
        <v>53</v>
      </c>
      <c r="F32" s="18" t="s">
        <v>53</v>
      </c>
      <c r="G32" s="18" t="s">
        <v>53</v>
      </c>
      <c r="H32" s="18" t="s">
        <v>53</v>
      </c>
      <c r="I32" s="18" t="s">
        <v>53</v>
      </c>
      <c r="J32" s="18" t="s">
        <v>53</v>
      </c>
      <c r="K32" s="18" t="s">
        <v>53</v>
      </c>
      <c r="L32" s="18" t="s">
        <v>53</v>
      </c>
      <c r="M32" s="18" t="s">
        <v>53</v>
      </c>
      <c r="N32" s="18" t="s">
        <v>53</v>
      </c>
      <c r="O32" s="18" t="s">
        <v>53</v>
      </c>
      <c r="P32" s="18" t="s">
        <v>53</v>
      </c>
      <c r="Q32" s="18" t="s">
        <v>53</v>
      </c>
      <c r="R32" s="18" t="s">
        <v>53</v>
      </c>
      <c r="S32" s="18" t="s">
        <v>53</v>
      </c>
      <c r="T32" s="18" t="s">
        <v>53</v>
      </c>
      <c r="U32" s="31" t="s">
        <v>53</v>
      </c>
      <c r="V32" s="18" t="s">
        <v>53</v>
      </c>
      <c r="W32" s="18" t="s">
        <v>53</v>
      </c>
      <c r="X32" s="18" t="s">
        <v>53</v>
      </c>
      <c r="Y32" s="18" t="s">
        <v>53</v>
      </c>
      <c r="Z32" s="18" t="s">
        <v>53</v>
      </c>
      <c r="AA32" s="22" t="s">
        <v>53</v>
      </c>
      <c r="AB32" s="22" t="s">
        <v>53</v>
      </c>
      <c r="AC32" s="18" t="s">
        <v>53</v>
      </c>
      <c r="AD32" s="25" t="s">
        <v>53</v>
      </c>
      <c r="AE32" s="18" t="s">
        <v>53</v>
      </c>
      <c r="AF32" s="18" t="s">
        <v>53</v>
      </c>
      <c r="AG32" s="18" t="s">
        <v>53</v>
      </c>
      <c r="AH32" s="18" t="s">
        <v>53</v>
      </c>
      <c r="AI32" s="18" t="s">
        <v>53</v>
      </c>
      <c r="AJ32" s="18" t="s">
        <v>53</v>
      </c>
      <c r="AK32" s="18" t="s">
        <v>53</v>
      </c>
      <c r="AL32" s="18" t="s">
        <v>53</v>
      </c>
      <c r="AM32" s="18" t="s">
        <v>53</v>
      </c>
      <c r="AN32" s="18" t="s">
        <v>53</v>
      </c>
      <c r="AO32" s="18" t="s">
        <v>53</v>
      </c>
      <c r="AP32" s="18" t="s">
        <v>53</v>
      </c>
      <c r="AQ32" s="18" t="s">
        <v>53</v>
      </c>
      <c r="AR32" s="5">
        <f t="shared" si="0"/>
        <v>42</v>
      </c>
      <c r="AS32" s="5">
        <f t="shared" si="1"/>
        <v>0</v>
      </c>
      <c r="AT32" s="5">
        <f t="shared" si="2"/>
        <v>0</v>
      </c>
      <c r="AU32">
        <f t="shared" si="3"/>
        <v>0</v>
      </c>
      <c r="AV32">
        <f t="shared" si="4"/>
        <v>0</v>
      </c>
      <c r="AW32">
        <f t="shared" si="6"/>
        <v>42</v>
      </c>
    </row>
    <row r="33" spans="1:49" x14ac:dyDescent="0.35">
      <c r="A33" s="5" t="s">
        <v>85</v>
      </c>
      <c r="B33" s="16" t="s">
        <v>50</v>
      </c>
      <c r="C33" s="16" t="s">
        <v>50</v>
      </c>
      <c r="D33" s="16" t="s">
        <v>51</v>
      </c>
      <c r="E33" s="16" t="s">
        <v>50</v>
      </c>
      <c r="F33" s="16" t="s">
        <v>50</v>
      </c>
      <c r="G33" s="16" t="s">
        <v>50</v>
      </c>
      <c r="H33" s="16" t="s">
        <v>50</v>
      </c>
      <c r="I33" s="26" t="s">
        <v>51</v>
      </c>
      <c r="J33" s="16" t="s">
        <v>51</v>
      </c>
      <c r="K33" s="16" t="s">
        <v>50</v>
      </c>
      <c r="L33" s="16" t="s">
        <v>50</v>
      </c>
      <c r="M33" s="16" t="s">
        <v>50</v>
      </c>
      <c r="N33" s="16" t="s">
        <v>50</v>
      </c>
      <c r="O33" s="16" t="s">
        <v>50</v>
      </c>
      <c r="P33" s="16" t="s">
        <v>50</v>
      </c>
      <c r="Q33" s="16" t="s">
        <v>50</v>
      </c>
      <c r="R33" s="16" t="s">
        <v>50</v>
      </c>
      <c r="S33" s="16" t="s">
        <v>50</v>
      </c>
      <c r="T33" s="16" t="s">
        <v>50</v>
      </c>
      <c r="U33" s="16" t="s">
        <v>50</v>
      </c>
      <c r="V33" s="16" t="s">
        <v>50</v>
      </c>
      <c r="W33" s="16" t="s">
        <v>50</v>
      </c>
      <c r="X33" s="16" t="s">
        <v>50</v>
      </c>
      <c r="Y33" s="16" t="s">
        <v>50</v>
      </c>
      <c r="Z33" s="16" t="s">
        <v>51</v>
      </c>
      <c r="AA33" s="16" t="s">
        <v>51</v>
      </c>
      <c r="AB33" s="16" t="s">
        <v>50</v>
      </c>
      <c r="AC33" s="16" t="s">
        <v>50</v>
      </c>
      <c r="AD33" s="16" t="s">
        <v>50</v>
      </c>
      <c r="AE33" s="16" t="s">
        <v>50</v>
      </c>
      <c r="AF33" s="16" t="s">
        <v>50</v>
      </c>
      <c r="AG33" s="16" t="s">
        <v>50</v>
      </c>
      <c r="AH33" s="16" t="s">
        <v>50</v>
      </c>
      <c r="AI33" s="16" t="s">
        <v>50</v>
      </c>
      <c r="AJ33" s="16" t="s">
        <v>50</v>
      </c>
      <c r="AK33" s="16" t="s">
        <v>50</v>
      </c>
      <c r="AL33" s="16" t="s">
        <v>50</v>
      </c>
      <c r="AM33" s="16" t="s">
        <v>50</v>
      </c>
      <c r="AN33" s="16" t="s">
        <v>50</v>
      </c>
      <c r="AO33" s="16" t="s">
        <v>50</v>
      </c>
      <c r="AP33" s="16" t="s">
        <v>50</v>
      </c>
      <c r="AQ33" s="16" t="s">
        <v>50</v>
      </c>
      <c r="AR33" s="5">
        <f t="shared" si="0"/>
        <v>0</v>
      </c>
      <c r="AS33" s="5">
        <f t="shared" si="1"/>
        <v>5</v>
      </c>
      <c r="AT33" s="5">
        <f t="shared" si="2"/>
        <v>37</v>
      </c>
      <c r="AU33">
        <f t="shared" si="3"/>
        <v>0</v>
      </c>
      <c r="AV33">
        <f t="shared" si="4"/>
        <v>0</v>
      </c>
      <c r="AW33">
        <f t="shared" si="6"/>
        <v>42</v>
      </c>
    </row>
    <row r="34" spans="1:49" x14ac:dyDescent="0.35">
      <c r="A34" s="5" t="s">
        <v>86</v>
      </c>
      <c r="B34" s="16" t="s">
        <v>51</v>
      </c>
      <c r="C34" s="16" t="s">
        <v>51</v>
      </c>
      <c r="D34" s="16" t="s">
        <v>51</v>
      </c>
      <c r="E34" s="16" t="s">
        <v>51</v>
      </c>
      <c r="F34" s="16" t="s">
        <v>51</v>
      </c>
      <c r="G34" s="18" t="s">
        <v>53</v>
      </c>
      <c r="H34" s="16" t="s">
        <v>51</v>
      </c>
      <c r="I34" s="16" t="s">
        <v>51</v>
      </c>
      <c r="J34" s="27" t="s">
        <v>53</v>
      </c>
      <c r="K34" s="16" t="s">
        <v>51</v>
      </c>
      <c r="L34" s="16" t="s">
        <v>51</v>
      </c>
      <c r="M34" s="16" t="s">
        <v>51</v>
      </c>
      <c r="N34" s="16" t="s">
        <v>50</v>
      </c>
      <c r="O34" s="16" t="s">
        <v>51</v>
      </c>
      <c r="P34" s="16" t="s">
        <v>51</v>
      </c>
      <c r="Q34" s="16" t="s">
        <v>51</v>
      </c>
      <c r="R34" s="35" t="s">
        <v>51</v>
      </c>
      <c r="S34" s="16" t="s">
        <v>51</v>
      </c>
      <c r="T34" s="16" t="s">
        <v>51</v>
      </c>
      <c r="U34" s="28" t="s">
        <v>51</v>
      </c>
      <c r="V34" s="27" t="s">
        <v>53</v>
      </c>
      <c r="W34" s="16" t="s">
        <v>51</v>
      </c>
      <c r="X34" s="27" t="s">
        <v>53</v>
      </c>
      <c r="Y34" s="16" t="s">
        <v>51</v>
      </c>
      <c r="Z34" s="16" t="s">
        <v>51</v>
      </c>
      <c r="AA34" s="16" t="s">
        <v>51</v>
      </c>
      <c r="AB34" s="28" t="s">
        <v>51</v>
      </c>
      <c r="AC34" s="28" t="s">
        <v>51</v>
      </c>
      <c r="AD34" s="21" t="s">
        <v>51</v>
      </c>
      <c r="AE34" s="16" t="s">
        <v>51</v>
      </c>
      <c r="AF34" s="16" t="s">
        <v>51</v>
      </c>
      <c r="AG34" s="16" t="s">
        <v>51</v>
      </c>
      <c r="AH34" s="16" t="s">
        <v>51</v>
      </c>
      <c r="AI34" s="16" t="s">
        <v>51</v>
      </c>
      <c r="AJ34" s="27" t="s">
        <v>53</v>
      </c>
      <c r="AK34" s="16" t="s">
        <v>51</v>
      </c>
      <c r="AL34" s="28" t="s">
        <v>51</v>
      </c>
      <c r="AM34" s="16" t="s">
        <v>51</v>
      </c>
      <c r="AN34" s="16" t="s">
        <v>51</v>
      </c>
      <c r="AO34" s="16" t="s">
        <v>51</v>
      </c>
      <c r="AP34" s="16" t="s">
        <v>51</v>
      </c>
      <c r="AQ34" s="27" t="s">
        <v>53</v>
      </c>
      <c r="AR34" s="5">
        <f t="shared" si="0"/>
        <v>6</v>
      </c>
      <c r="AS34" s="5">
        <f t="shared" si="1"/>
        <v>35</v>
      </c>
      <c r="AT34" s="5">
        <f t="shared" si="2"/>
        <v>1</v>
      </c>
      <c r="AU34">
        <f t="shared" si="3"/>
        <v>0</v>
      </c>
      <c r="AV34">
        <f t="shared" si="4"/>
        <v>0</v>
      </c>
      <c r="AW34">
        <f t="shared" si="6"/>
        <v>42</v>
      </c>
    </row>
    <row r="35" spans="1:49" x14ac:dyDescent="0.35">
      <c r="A35" s="5" t="s">
        <v>87</v>
      </c>
      <c r="B35" s="16" t="s">
        <v>50</v>
      </c>
      <c r="C35" s="16" t="s">
        <v>50</v>
      </c>
      <c r="D35" s="16" t="s">
        <v>50</v>
      </c>
      <c r="E35" s="18" t="s">
        <v>53</v>
      </c>
      <c r="F35" s="18" t="s">
        <v>53</v>
      </c>
      <c r="G35" s="18" t="s">
        <v>53</v>
      </c>
      <c r="H35" s="18" t="s">
        <v>53</v>
      </c>
      <c r="I35" s="16" t="s">
        <v>50</v>
      </c>
      <c r="J35" s="16" t="s">
        <v>50</v>
      </c>
      <c r="K35" s="18" t="s">
        <v>53</v>
      </c>
      <c r="L35" s="18" t="s">
        <v>53</v>
      </c>
      <c r="M35" s="16" t="s">
        <v>50</v>
      </c>
      <c r="N35" s="16" t="s">
        <v>50</v>
      </c>
      <c r="O35" s="16" t="s">
        <v>50</v>
      </c>
      <c r="P35" s="16" t="s">
        <v>50</v>
      </c>
      <c r="Q35" s="16" t="s">
        <v>50</v>
      </c>
      <c r="R35" s="16" t="s">
        <v>50</v>
      </c>
      <c r="S35" s="16" t="s">
        <v>50</v>
      </c>
      <c r="T35" s="16" t="s">
        <v>50</v>
      </c>
      <c r="U35" s="16" t="s">
        <v>50</v>
      </c>
      <c r="V35" s="27" t="s">
        <v>53</v>
      </c>
      <c r="W35" s="16" t="s">
        <v>50</v>
      </c>
      <c r="X35" s="16" t="s">
        <v>50</v>
      </c>
      <c r="Y35" s="16" t="s">
        <v>50</v>
      </c>
      <c r="Z35" s="27" t="s">
        <v>53</v>
      </c>
      <c r="AA35" s="27" t="s">
        <v>53</v>
      </c>
      <c r="AB35" s="16" t="s">
        <v>50</v>
      </c>
      <c r="AC35" s="16" t="s">
        <v>50</v>
      </c>
      <c r="AD35" s="18" t="s">
        <v>53</v>
      </c>
      <c r="AE35" s="16" t="s">
        <v>50</v>
      </c>
      <c r="AF35" s="16" t="s">
        <v>50</v>
      </c>
      <c r="AG35" s="27" t="s">
        <v>53</v>
      </c>
      <c r="AH35" s="16" t="s">
        <v>50</v>
      </c>
      <c r="AI35" s="16" t="s">
        <v>50</v>
      </c>
      <c r="AJ35" s="16" t="s">
        <v>50</v>
      </c>
      <c r="AK35" s="16" t="s">
        <v>50</v>
      </c>
      <c r="AL35" s="16" t="s">
        <v>50</v>
      </c>
      <c r="AM35" s="16" t="s">
        <v>50</v>
      </c>
      <c r="AN35" s="16" t="s">
        <v>50</v>
      </c>
      <c r="AO35" s="27" t="s">
        <v>53</v>
      </c>
      <c r="AP35" s="16" t="s">
        <v>50</v>
      </c>
      <c r="AQ35" s="16" t="s">
        <v>50</v>
      </c>
      <c r="AR35" s="5">
        <f t="shared" si="0"/>
        <v>12</v>
      </c>
      <c r="AS35" s="5">
        <f t="shared" si="1"/>
        <v>0</v>
      </c>
      <c r="AT35" s="5">
        <f t="shared" si="2"/>
        <v>30</v>
      </c>
      <c r="AU35">
        <f t="shared" si="3"/>
        <v>0</v>
      </c>
      <c r="AV35">
        <f t="shared" si="4"/>
        <v>0</v>
      </c>
      <c r="AW35">
        <f t="shared" si="6"/>
        <v>42</v>
      </c>
    </row>
    <row r="36" spans="1:49" x14ac:dyDescent="0.35">
      <c r="A36" s="5" t="s">
        <v>88</v>
      </c>
      <c r="B36" s="16" t="s">
        <v>51</v>
      </c>
      <c r="C36" s="16" t="s">
        <v>51</v>
      </c>
      <c r="D36" s="16" t="s">
        <v>51</v>
      </c>
      <c r="E36" s="31" t="s">
        <v>53</v>
      </c>
      <c r="F36" s="34" t="s">
        <v>51</v>
      </c>
      <c r="G36" s="16" t="s">
        <v>51</v>
      </c>
      <c r="H36" s="16" t="s">
        <v>51</v>
      </c>
      <c r="I36" s="16" t="s">
        <v>51</v>
      </c>
      <c r="J36" s="18" t="s">
        <v>53</v>
      </c>
      <c r="K36" s="16" t="s">
        <v>51</v>
      </c>
      <c r="L36" s="16" t="s">
        <v>51</v>
      </c>
      <c r="M36" s="16" t="s">
        <v>51</v>
      </c>
      <c r="N36" s="16" t="s">
        <v>51</v>
      </c>
      <c r="O36" s="18" t="s">
        <v>53</v>
      </c>
      <c r="P36" s="16" t="s">
        <v>51</v>
      </c>
      <c r="Q36" s="16" t="s">
        <v>51</v>
      </c>
      <c r="R36" s="16" t="s">
        <v>51</v>
      </c>
      <c r="S36" s="16" t="s">
        <v>51</v>
      </c>
      <c r="T36" s="16" t="s">
        <v>51</v>
      </c>
      <c r="U36" s="18" t="s">
        <v>53</v>
      </c>
      <c r="V36" s="16" t="s">
        <v>51</v>
      </c>
      <c r="W36" s="16" t="s">
        <v>51</v>
      </c>
      <c r="X36" s="16" t="s">
        <v>51</v>
      </c>
      <c r="Y36" s="16" t="s">
        <v>51</v>
      </c>
      <c r="Z36" s="16" t="s">
        <v>51</v>
      </c>
      <c r="AA36" s="16" t="s">
        <v>51</v>
      </c>
      <c r="AB36" s="16" t="s">
        <v>51</v>
      </c>
      <c r="AC36" s="16" t="s">
        <v>51</v>
      </c>
      <c r="AD36" s="21" t="s">
        <v>51</v>
      </c>
      <c r="AE36" s="16" t="s">
        <v>51</v>
      </c>
      <c r="AF36" s="16" t="s">
        <v>51</v>
      </c>
      <c r="AG36" s="16" t="s">
        <v>51</v>
      </c>
      <c r="AH36" s="16" t="s">
        <v>51</v>
      </c>
      <c r="AI36" s="16" t="s">
        <v>51</v>
      </c>
      <c r="AJ36" s="16" t="s">
        <v>51</v>
      </c>
      <c r="AK36" s="16" t="s">
        <v>51</v>
      </c>
      <c r="AL36" s="16" t="s">
        <v>51</v>
      </c>
      <c r="AM36" s="18" t="s">
        <v>53</v>
      </c>
      <c r="AN36" s="34" t="s">
        <v>51</v>
      </c>
      <c r="AO36" s="18" t="s">
        <v>53</v>
      </c>
      <c r="AP36" s="16" t="s">
        <v>51</v>
      </c>
      <c r="AQ36" s="16" t="s">
        <v>51</v>
      </c>
      <c r="AR36" s="5">
        <f t="shared" si="0"/>
        <v>6</v>
      </c>
      <c r="AS36" s="5">
        <f t="shared" si="1"/>
        <v>36</v>
      </c>
      <c r="AT36" s="5">
        <f t="shared" si="2"/>
        <v>0</v>
      </c>
      <c r="AU36">
        <f t="shared" si="3"/>
        <v>0</v>
      </c>
      <c r="AV36">
        <f t="shared" si="4"/>
        <v>0</v>
      </c>
      <c r="AW36">
        <f t="shared" si="6"/>
        <v>42</v>
      </c>
    </row>
    <row r="37" spans="1:49" x14ac:dyDescent="0.35">
      <c r="A37" s="5" t="s">
        <v>89</v>
      </c>
      <c r="B37" s="16" t="s">
        <v>50</v>
      </c>
      <c r="C37" s="16" t="s">
        <v>50</v>
      </c>
      <c r="D37" s="18" t="s">
        <v>53</v>
      </c>
      <c r="E37" s="18" t="s">
        <v>53</v>
      </c>
      <c r="F37" s="18" t="s">
        <v>53</v>
      </c>
      <c r="G37" s="16" t="s">
        <v>50</v>
      </c>
      <c r="H37" s="16" t="s">
        <v>50</v>
      </c>
      <c r="I37" s="16" t="s">
        <v>50</v>
      </c>
      <c r="J37" s="16" t="s">
        <v>50</v>
      </c>
      <c r="K37" s="16" t="s">
        <v>50</v>
      </c>
      <c r="L37" s="16" t="s">
        <v>50</v>
      </c>
      <c r="M37" s="18" t="s">
        <v>53</v>
      </c>
      <c r="N37" s="16" t="s">
        <v>50</v>
      </c>
      <c r="O37" s="16" t="s">
        <v>50</v>
      </c>
      <c r="P37" s="16" t="s">
        <v>50</v>
      </c>
      <c r="Q37" s="18" t="s">
        <v>53</v>
      </c>
      <c r="R37" s="18" t="s">
        <v>53</v>
      </c>
      <c r="S37" s="16" t="s">
        <v>50</v>
      </c>
      <c r="T37" s="18" t="s">
        <v>53</v>
      </c>
      <c r="U37" s="18" t="s">
        <v>53</v>
      </c>
      <c r="V37" s="16" t="s">
        <v>50</v>
      </c>
      <c r="W37" s="16" t="s">
        <v>50</v>
      </c>
      <c r="X37" s="16" t="s">
        <v>50</v>
      </c>
      <c r="Y37" s="16" t="s">
        <v>50</v>
      </c>
      <c r="Z37" s="18" t="s">
        <v>53</v>
      </c>
      <c r="AA37" s="16" t="s">
        <v>50</v>
      </c>
      <c r="AB37" s="16" t="s">
        <v>50</v>
      </c>
      <c r="AC37" s="16" t="s">
        <v>50</v>
      </c>
      <c r="AD37" s="21" t="s">
        <v>50</v>
      </c>
      <c r="AE37" s="16" t="s">
        <v>50</v>
      </c>
      <c r="AF37" s="16" t="s">
        <v>50</v>
      </c>
      <c r="AG37" s="16" t="s">
        <v>50</v>
      </c>
      <c r="AH37" s="16" t="s">
        <v>50</v>
      </c>
      <c r="AI37" s="16" t="s">
        <v>50</v>
      </c>
      <c r="AJ37" s="16" t="s">
        <v>50</v>
      </c>
      <c r="AK37" s="16" t="s">
        <v>50</v>
      </c>
      <c r="AL37" s="16" t="s">
        <v>50</v>
      </c>
      <c r="AM37" s="18" t="s">
        <v>53</v>
      </c>
      <c r="AN37" s="16" t="s">
        <v>50</v>
      </c>
      <c r="AO37" s="16" t="s">
        <v>50</v>
      </c>
      <c r="AP37" s="16" t="s">
        <v>50</v>
      </c>
      <c r="AQ37" s="16" t="s">
        <v>50</v>
      </c>
      <c r="AR37" s="5">
        <f t="shared" si="0"/>
        <v>10</v>
      </c>
      <c r="AS37" s="5">
        <f t="shared" si="1"/>
        <v>0</v>
      </c>
      <c r="AT37" s="5">
        <f t="shared" si="2"/>
        <v>32</v>
      </c>
      <c r="AU37">
        <f t="shared" si="3"/>
        <v>0</v>
      </c>
      <c r="AV37">
        <f t="shared" si="4"/>
        <v>0</v>
      </c>
      <c r="AW37">
        <f t="shared" si="6"/>
        <v>42</v>
      </c>
    </row>
    <row r="38" spans="1:49" x14ac:dyDescent="0.35">
      <c r="A38" s="5" t="s">
        <v>90</v>
      </c>
      <c r="B38" s="16" t="s">
        <v>50</v>
      </c>
      <c r="C38" s="16" t="s">
        <v>50</v>
      </c>
      <c r="D38" s="16" t="s">
        <v>50</v>
      </c>
      <c r="E38" s="16" t="s">
        <v>50</v>
      </c>
      <c r="F38" s="16" t="s">
        <v>50</v>
      </c>
      <c r="G38" s="16" t="s">
        <v>50</v>
      </c>
      <c r="H38" s="16" t="s">
        <v>50</v>
      </c>
      <c r="I38" s="16" t="s">
        <v>50</v>
      </c>
      <c r="J38" s="16" t="s">
        <v>50</v>
      </c>
      <c r="K38" s="16" t="s">
        <v>50</v>
      </c>
      <c r="L38" s="16" t="s">
        <v>50</v>
      </c>
      <c r="M38" s="16" t="s">
        <v>50</v>
      </c>
      <c r="N38" s="16" t="s">
        <v>51</v>
      </c>
      <c r="O38" s="16" t="s">
        <v>50</v>
      </c>
      <c r="P38" s="16" t="s">
        <v>50</v>
      </c>
      <c r="Q38" s="16" t="s">
        <v>50</v>
      </c>
      <c r="R38" s="16" t="s">
        <v>50</v>
      </c>
      <c r="S38" s="16" t="s">
        <v>50</v>
      </c>
      <c r="T38" s="16" t="s">
        <v>50</v>
      </c>
      <c r="U38" s="16" t="s">
        <v>50</v>
      </c>
      <c r="V38" s="16" t="s">
        <v>50</v>
      </c>
      <c r="W38" s="44" t="s">
        <v>50</v>
      </c>
      <c r="X38" s="16" t="s">
        <v>50</v>
      </c>
      <c r="Y38" s="16" t="s">
        <v>50</v>
      </c>
      <c r="Z38" s="16" t="s">
        <v>50</v>
      </c>
      <c r="AA38" s="16" t="s">
        <v>50</v>
      </c>
      <c r="AB38" s="16" t="s">
        <v>50</v>
      </c>
      <c r="AC38" s="16" t="s">
        <v>50</v>
      </c>
      <c r="AD38" s="16" t="s">
        <v>50</v>
      </c>
      <c r="AE38" s="16" t="s">
        <v>50</v>
      </c>
      <c r="AF38" s="16" t="s">
        <v>50</v>
      </c>
      <c r="AG38" s="16" t="s">
        <v>50</v>
      </c>
      <c r="AH38" s="16" t="s">
        <v>50</v>
      </c>
      <c r="AI38" s="16" t="s">
        <v>50</v>
      </c>
      <c r="AJ38" s="16" t="s">
        <v>50</v>
      </c>
      <c r="AK38" s="16" t="s">
        <v>50</v>
      </c>
      <c r="AL38" s="16" t="s">
        <v>50</v>
      </c>
      <c r="AM38" s="16" t="s">
        <v>50</v>
      </c>
      <c r="AN38" s="16" t="s">
        <v>50</v>
      </c>
      <c r="AO38" s="16" t="s">
        <v>50</v>
      </c>
      <c r="AP38" s="16" t="s">
        <v>50</v>
      </c>
      <c r="AQ38" s="16" t="s">
        <v>50</v>
      </c>
      <c r="AR38" s="5">
        <f t="shared" si="0"/>
        <v>0</v>
      </c>
      <c r="AS38" s="5">
        <f t="shared" si="1"/>
        <v>1</v>
      </c>
      <c r="AT38" s="5">
        <f t="shared" si="2"/>
        <v>41</v>
      </c>
      <c r="AU38">
        <f t="shared" si="3"/>
        <v>0</v>
      </c>
      <c r="AV38">
        <f t="shared" si="4"/>
        <v>0</v>
      </c>
      <c r="AW38">
        <f t="shared" si="6"/>
        <v>42</v>
      </c>
    </row>
    <row r="39" spans="1:49" x14ac:dyDescent="0.35">
      <c r="A39" s="5" t="s">
        <v>91</v>
      </c>
      <c r="B39" s="16" t="s">
        <v>50</v>
      </c>
      <c r="C39" s="16" t="s">
        <v>50</v>
      </c>
      <c r="D39" s="16" t="s">
        <v>50</v>
      </c>
      <c r="E39" s="18" t="s">
        <v>53</v>
      </c>
      <c r="F39" s="27" t="s">
        <v>53</v>
      </c>
      <c r="G39" s="16" t="s">
        <v>50</v>
      </c>
      <c r="H39" s="16" t="s">
        <v>50</v>
      </c>
      <c r="I39" s="16" t="s">
        <v>50</v>
      </c>
      <c r="J39" s="16" t="s">
        <v>50</v>
      </c>
      <c r="K39" s="18" t="s">
        <v>53</v>
      </c>
      <c r="L39" s="16" t="s">
        <v>50</v>
      </c>
      <c r="M39" s="27" t="s">
        <v>53</v>
      </c>
      <c r="N39" s="16" t="s">
        <v>50</v>
      </c>
      <c r="O39" s="18" t="s">
        <v>53</v>
      </c>
      <c r="P39" s="16" t="s">
        <v>50</v>
      </c>
      <c r="Q39" s="16" t="s">
        <v>50</v>
      </c>
      <c r="R39" s="16" t="s">
        <v>50</v>
      </c>
      <c r="S39" s="16" t="s">
        <v>50</v>
      </c>
      <c r="T39" s="27" t="s">
        <v>53</v>
      </c>
      <c r="U39" s="16" t="s">
        <v>50</v>
      </c>
      <c r="V39" s="27" t="s">
        <v>53</v>
      </c>
      <c r="W39" s="18" t="s">
        <v>53</v>
      </c>
      <c r="X39" s="18" t="s">
        <v>53</v>
      </c>
      <c r="Y39" s="16" t="s">
        <v>50</v>
      </c>
      <c r="Z39" s="18" t="s">
        <v>53</v>
      </c>
      <c r="AA39" s="16" t="s">
        <v>50</v>
      </c>
      <c r="AB39" s="16" t="s">
        <v>50</v>
      </c>
      <c r="AC39" s="18" t="s">
        <v>53</v>
      </c>
      <c r="AD39" s="18" t="s">
        <v>53</v>
      </c>
      <c r="AE39" s="18" t="s">
        <v>53</v>
      </c>
      <c r="AF39" s="16" t="s">
        <v>50</v>
      </c>
      <c r="AG39" s="16" t="s">
        <v>50</v>
      </c>
      <c r="AH39" s="18" t="s">
        <v>53</v>
      </c>
      <c r="AI39" s="18" t="s">
        <v>53</v>
      </c>
      <c r="AJ39" s="16" t="s">
        <v>50</v>
      </c>
      <c r="AK39" s="16" t="s">
        <v>50</v>
      </c>
      <c r="AL39" s="18" t="s">
        <v>53</v>
      </c>
      <c r="AM39" s="16" t="s">
        <v>50</v>
      </c>
      <c r="AN39" s="16" t="s">
        <v>50</v>
      </c>
      <c r="AO39" s="16" t="s">
        <v>50</v>
      </c>
      <c r="AP39" s="16" t="s">
        <v>50</v>
      </c>
      <c r="AQ39" s="16" t="s">
        <v>50</v>
      </c>
      <c r="AR39" s="5">
        <f t="shared" si="0"/>
        <v>16</v>
      </c>
      <c r="AS39" s="5">
        <f t="shared" si="1"/>
        <v>0</v>
      </c>
      <c r="AT39" s="5">
        <f t="shared" si="2"/>
        <v>26</v>
      </c>
      <c r="AU39">
        <f t="shared" si="3"/>
        <v>0</v>
      </c>
      <c r="AV39">
        <f t="shared" si="4"/>
        <v>0</v>
      </c>
      <c r="AW39">
        <f t="shared" si="6"/>
        <v>42</v>
      </c>
    </row>
    <row r="40" spans="1:49" x14ac:dyDescent="0.35">
      <c r="A40" s="5" t="s">
        <v>92</v>
      </c>
      <c r="B40" s="16" t="s">
        <v>50</v>
      </c>
      <c r="C40" s="16" t="s">
        <v>50</v>
      </c>
      <c r="D40" s="16" t="s">
        <v>50</v>
      </c>
      <c r="E40" s="16" t="s">
        <v>50</v>
      </c>
      <c r="F40" s="16" t="s">
        <v>50</v>
      </c>
      <c r="G40" s="16" t="s">
        <v>50</v>
      </c>
      <c r="H40" s="16" t="s">
        <v>50</v>
      </c>
      <c r="I40" s="16" t="s">
        <v>50</v>
      </c>
      <c r="J40" s="16" t="s">
        <v>50</v>
      </c>
      <c r="K40" s="18" t="s">
        <v>53</v>
      </c>
      <c r="L40" s="16" t="s">
        <v>50</v>
      </c>
      <c r="M40" s="16" t="s">
        <v>50</v>
      </c>
      <c r="N40" s="16" t="s">
        <v>50</v>
      </c>
      <c r="O40" s="18" t="s">
        <v>53</v>
      </c>
      <c r="P40" s="16" t="s">
        <v>50</v>
      </c>
      <c r="Q40" s="16" t="s">
        <v>50</v>
      </c>
      <c r="R40" s="16" t="s">
        <v>50</v>
      </c>
      <c r="S40" s="16" t="s">
        <v>50</v>
      </c>
      <c r="T40" s="16" t="s">
        <v>50</v>
      </c>
      <c r="U40" s="16" t="s">
        <v>50</v>
      </c>
      <c r="V40" s="16" t="s">
        <v>50</v>
      </c>
      <c r="W40" s="16" t="s">
        <v>50</v>
      </c>
      <c r="X40" s="16" t="s">
        <v>50</v>
      </c>
      <c r="Y40" s="16" t="s">
        <v>50</v>
      </c>
      <c r="Z40" s="16" t="s">
        <v>50</v>
      </c>
      <c r="AA40" s="16" t="s">
        <v>50</v>
      </c>
      <c r="AB40" s="16" t="s">
        <v>50</v>
      </c>
      <c r="AC40" s="16" t="s">
        <v>50</v>
      </c>
      <c r="AD40" s="16" t="s">
        <v>50</v>
      </c>
      <c r="AE40" s="16" t="s">
        <v>50</v>
      </c>
      <c r="AF40" s="16" t="s">
        <v>50</v>
      </c>
      <c r="AG40" s="16" t="s">
        <v>50</v>
      </c>
      <c r="AH40" s="16" t="s">
        <v>50</v>
      </c>
      <c r="AI40" s="16" t="s">
        <v>50</v>
      </c>
      <c r="AJ40" s="16" t="s">
        <v>50</v>
      </c>
      <c r="AK40" s="16" t="s">
        <v>50</v>
      </c>
      <c r="AL40" s="16" t="s">
        <v>50</v>
      </c>
      <c r="AM40" s="16" t="s">
        <v>50</v>
      </c>
      <c r="AN40" s="16" t="s">
        <v>50</v>
      </c>
      <c r="AO40" s="16" t="s">
        <v>50</v>
      </c>
      <c r="AP40" s="16" t="s">
        <v>50</v>
      </c>
      <c r="AQ40" s="16" t="s">
        <v>50</v>
      </c>
      <c r="AR40" s="5">
        <f t="shared" si="0"/>
        <v>2</v>
      </c>
      <c r="AS40" s="5">
        <f t="shared" si="1"/>
        <v>0</v>
      </c>
      <c r="AT40" s="5">
        <f t="shared" si="2"/>
        <v>40</v>
      </c>
      <c r="AU40">
        <f t="shared" si="3"/>
        <v>0</v>
      </c>
      <c r="AV40">
        <f t="shared" si="4"/>
        <v>0</v>
      </c>
      <c r="AW40">
        <f t="shared" si="6"/>
        <v>42</v>
      </c>
    </row>
    <row r="41" spans="1:49" x14ac:dyDescent="0.35">
      <c r="A41" s="5" t="s">
        <v>93</v>
      </c>
      <c r="B41" s="18" t="s">
        <v>53</v>
      </c>
      <c r="C41" s="16" t="s">
        <v>51</v>
      </c>
      <c r="D41" s="16" t="s">
        <v>51</v>
      </c>
      <c r="E41" s="16" t="s">
        <v>51</v>
      </c>
      <c r="F41" s="16" t="s">
        <v>50</v>
      </c>
      <c r="G41" s="27" t="s">
        <v>53</v>
      </c>
      <c r="H41" s="16" t="s">
        <v>51</v>
      </c>
      <c r="I41" s="27" t="s">
        <v>53</v>
      </c>
      <c r="J41" s="16" t="s">
        <v>51</v>
      </c>
      <c r="K41" s="27" t="s">
        <v>53</v>
      </c>
      <c r="L41" s="16" t="s">
        <v>51</v>
      </c>
      <c r="M41" s="27" t="s">
        <v>53</v>
      </c>
      <c r="N41" s="16" t="s">
        <v>51</v>
      </c>
      <c r="O41" s="26" t="s">
        <v>50</v>
      </c>
      <c r="P41" s="16" t="s">
        <v>50</v>
      </c>
      <c r="Q41" s="18" t="s">
        <v>53</v>
      </c>
      <c r="R41" s="18" t="s">
        <v>53</v>
      </c>
      <c r="S41" s="18" t="s">
        <v>53</v>
      </c>
      <c r="T41" s="16" t="s">
        <v>51</v>
      </c>
      <c r="U41" s="18" t="s">
        <v>53</v>
      </c>
      <c r="V41" s="18" t="s">
        <v>53</v>
      </c>
      <c r="W41" s="18" t="s">
        <v>53</v>
      </c>
      <c r="X41" s="18" t="s">
        <v>53</v>
      </c>
      <c r="Y41" s="18" t="s">
        <v>53</v>
      </c>
      <c r="Z41" s="18" t="s">
        <v>53</v>
      </c>
      <c r="AA41" s="18" t="s">
        <v>53</v>
      </c>
      <c r="AB41" s="27" t="s">
        <v>53</v>
      </c>
      <c r="AC41" s="18" t="s">
        <v>53</v>
      </c>
      <c r="AD41" s="18" t="s">
        <v>53</v>
      </c>
      <c r="AE41" s="18" t="s">
        <v>53</v>
      </c>
      <c r="AF41" s="18" t="s">
        <v>53</v>
      </c>
      <c r="AG41" s="18" t="s">
        <v>53</v>
      </c>
      <c r="AH41" s="18" t="s">
        <v>53</v>
      </c>
      <c r="AI41" s="16" t="s">
        <v>51</v>
      </c>
      <c r="AJ41" s="18" t="s">
        <v>53</v>
      </c>
      <c r="AK41" s="16" t="s">
        <v>50</v>
      </c>
      <c r="AL41" s="16" t="s">
        <v>50</v>
      </c>
      <c r="AM41" s="18" t="s">
        <v>53</v>
      </c>
      <c r="AN41" s="18" t="s">
        <v>53</v>
      </c>
      <c r="AO41" s="18" t="s">
        <v>53</v>
      </c>
      <c r="AP41" s="18" t="s">
        <v>53</v>
      </c>
      <c r="AQ41" s="18" t="s">
        <v>53</v>
      </c>
      <c r="AR41" s="5">
        <f t="shared" si="0"/>
        <v>28</v>
      </c>
      <c r="AS41" s="5">
        <f t="shared" si="1"/>
        <v>9</v>
      </c>
      <c r="AT41" s="5">
        <f t="shared" si="2"/>
        <v>5</v>
      </c>
      <c r="AU41">
        <f t="shared" si="3"/>
        <v>0</v>
      </c>
      <c r="AV41">
        <f t="shared" si="4"/>
        <v>0</v>
      </c>
      <c r="AW41">
        <f t="shared" si="6"/>
        <v>42</v>
      </c>
    </row>
    <row r="42" spans="1:49" x14ac:dyDescent="0.35">
      <c r="A42" s="5" t="s">
        <v>94</v>
      </c>
      <c r="B42" s="26" t="s">
        <v>51</v>
      </c>
      <c r="C42" s="16" t="s">
        <v>51</v>
      </c>
      <c r="D42" s="16" t="s">
        <v>51</v>
      </c>
      <c r="E42" s="16" t="s">
        <v>50</v>
      </c>
      <c r="F42" s="16" t="s">
        <v>51</v>
      </c>
      <c r="G42" s="16" t="s">
        <v>50</v>
      </c>
      <c r="H42" s="16" t="s">
        <v>50</v>
      </c>
      <c r="I42" s="16" t="s">
        <v>50</v>
      </c>
      <c r="J42" s="16" t="s">
        <v>51</v>
      </c>
      <c r="K42" s="18" t="s">
        <v>53</v>
      </c>
      <c r="L42" s="16" t="s">
        <v>50</v>
      </c>
      <c r="M42" s="26" t="s">
        <v>51</v>
      </c>
      <c r="N42" s="16" t="s">
        <v>50</v>
      </c>
      <c r="O42" s="16" t="s">
        <v>50</v>
      </c>
      <c r="P42" s="16" t="s">
        <v>50</v>
      </c>
      <c r="Q42" s="16" t="s">
        <v>50</v>
      </c>
      <c r="R42" s="16" t="s">
        <v>50</v>
      </c>
      <c r="S42" s="16" t="s">
        <v>50</v>
      </c>
      <c r="T42" s="40" t="s">
        <v>51</v>
      </c>
      <c r="U42" s="18" t="s">
        <v>53</v>
      </c>
      <c r="V42" s="27" t="s">
        <v>53</v>
      </c>
      <c r="W42" s="18" t="s">
        <v>53</v>
      </c>
      <c r="X42" s="26" t="s">
        <v>51</v>
      </c>
      <c r="Y42" s="16" t="s">
        <v>50</v>
      </c>
      <c r="Z42" s="34" t="s">
        <v>51</v>
      </c>
      <c r="AA42" s="16" t="s">
        <v>51</v>
      </c>
      <c r="AB42" s="16" t="s">
        <v>50</v>
      </c>
      <c r="AC42" s="16" t="s">
        <v>51</v>
      </c>
      <c r="AD42" s="16" t="s">
        <v>51</v>
      </c>
      <c r="AE42" s="16" t="s">
        <v>50</v>
      </c>
      <c r="AF42" s="16" t="s">
        <v>50</v>
      </c>
      <c r="AG42" s="16" t="s">
        <v>50</v>
      </c>
      <c r="AH42" s="16" t="s">
        <v>51</v>
      </c>
      <c r="AI42" s="26" t="s">
        <v>51</v>
      </c>
      <c r="AJ42" s="16" t="s">
        <v>50</v>
      </c>
      <c r="AK42" s="16" t="s">
        <v>50</v>
      </c>
      <c r="AL42" s="26" t="s">
        <v>51</v>
      </c>
      <c r="AM42" s="16" t="s">
        <v>51</v>
      </c>
      <c r="AN42" s="16" t="s">
        <v>50</v>
      </c>
      <c r="AO42" s="16" t="s">
        <v>51</v>
      </c>
      <c r="AP42" s="16" t="s">
        <v>50</v>
      </c>
      <c r="AQ42" s="16" t="s">
        <v>50</v>
      </c>
      <c r="AR42" s="5">
        <f t="shared" si="0"/>
        <v>4</v>
      </c>
      <c r="AS42" s="5">
        <f t="shared" si="1"/>
        <v>17</v>
      </c>
      <c r="AT42" s="5">
        <f t="shared" si="2"/>
        <v>21</v>
      </c>
      <c r="AU42">
        <f t="shared" si="3"/>
        <v>0</v>
      </c>
      <c r="AV42">
        <f t="shared" si="4"/>
        <v>0</v>
      </c>
      <c r="AW42">
        <f t="shared" si="6"/>
        <v>42</v>
      </c>
    </row>
    <row r="43" spans="1:49" x14ac:dyDescent="0.35">
      <c r="A43" s="5" t="s">
        <v>95</v>
      </c>
      <c r="B43" s="18" t="s">
        <v>53</v>
      </c>
      <c r="C43" s="16" t="s">
        <v>51</v>
      </c>
      <c r="D43" s="16" t="s">
        <v>51</v>
      </c>
      <c r="E43" s="16" t="s">
        <v>51</v>
      </c>
      <c r="F43" s="16" t="s">
        <v>51</v>
      </c>
      <c r="G43" s="16" t="s">
        <v>50</v>
      </c>
      <c r="H43" s="16" t="s">
        <v>51</v>
      </c>
      <c r="I43" s="16" t="s">
        <v>51</v>
      </c>
      <c r="J43" s="16" t="s">
        <v>51</v>
      </c>
      <c r="K43" s="16" t="s">
        <v>51</v>
      </c>
      <c r="L43" s="28" t="s">
        <v>51</v>
      </c>
      <c r="M43" s="16" t="s">
        <v>51</v>
      </c>
      <c r="N43" s="16" t="s">
        <v>51</v>
      </c>
      <c r="O43" s="16" t="s">
        <v>51</v>
      </c>
      <c r="P43" s="16" t="s">
        <v>51</v>
      </c>
      <c r="Q43" s="16" t="s">
        <v>51</v>
      </c>
      <c r="R43" s="16" t="s">
        <v>51</v>
      </c>
      <c r="S43" s="16" t="s">
        <v>51</v>
      </c>
      <c r="T43" s="26" t="s">
        <v>51</v>
      </c>
      <c r="U43" s="16" t="s">
        <v>63</v>
      </c>
      <c r="V43" s="26" t="s">
        <v>51</v>
      </c>
      <c r="W43" s="16" t="s">
        <v>51</v>
      </c>
      <c r="X43" s="18" t="s">
        <v>53</v>
      </c>
      <c r="Y43" s="16" t="s">
        <v>50</v>
      </c>
      <c r="Z43" s="16" t="s">
        <v>51</v>
      </c>
      <c r="AA43" s="18" t="s">
        <v>53</v>
      </c>
      <c r="AB43" s="16" t="s">
        <v>51</v>
      </c>
      <c r="AC43" s="16" t="s">
        <v>51</v>
      </c>
      <c r="AD43" s="21" t="s">
        <v>51</v>
      </c>
      <c r="AE43" s="16" t="s">
        <v>51</v>
      </c>
      <c r="AF43" s="16" t="s">
        <v>51</v>
      </c>
      <c r="AG43" s="16" t="s">
        <v>51</v>
      </c>
      <c r="AH43" s="18" t="s">
        <v>53</v>
      </c>
      <c r="AI43" s="16" t="s">
        <v>51</v>
      </c>
      <c r="AJ43" s="16" t="s">
        <v>51</v>
      </c>
      <c r="AK43" s="16" t="s">
        <v>51</v>
      </c>
      <c r="AL43" s="16" t="s">
        <v>51</v>
      </c>
      <c r="AM43" s="16" t="s">
        <v>51</v>
      </c>
      <c r="AN43" s="18" t="s">
        <v>53</v>
      </c>
      <c r="AO43" s="18" t="s">
        <v>53</v>
      </c>
      <c r="AP43" s="34" t="s">
        <v>51</v>
      </c>
      <c r="AQ43" s="16" t="s">
        <v>51</v>
      </c>
      <c r="AR43" s="5">
        <f t="shared" si="0"/>
        <v>6</v>
      </c>
      <c r="AS43" s="5">
        <f t="shared" si="1"/>
        <v>33</v>
      </c>
      <c r="AT43" s="5">
        <f t="shared" si="2"/>
        <v>2</v>
      </c>
      <c r="AU43">
        <f t="shared" si="3"/>
        <v>1</v>
      </c>
      <c r="AV43">
        <f t="shared" si="4"/>
        <v>0</v>
      </c>
      <c r="AW43">
        <f t="shared" si="6"/>
        <v>42</v>
      </c>
    </row>
    <row r="44" spans="1:49" x14ac:dyDescent="0.35">
      <c r="A44" s="5" t="s">
        <v>96</v>
      </c>
      <c r="B44" s="16" t="s">
        <v>50</v>
      </c>
      <c r="C44" s="16" t="s">
        <v>50</v>
      </c>
      <c r="D44" s="16" t="s">
        <v>50</v>
      </c>
      <c r="E44" s="16" t="s">
        <v>50</v>
      </c>
      <c r="F44" s="16" t="s">
        <v>50</v>
      </c>
      <c r="G44" s="16" t="s">
        <v>50</v>
      </c>
      <c r="H44" s="16" t="s">
        <v>50</v>
      </c>
      <c r="I44" s="16" t="s">
        <v>50</v>
      </c>
      <c r="J44" s="16" t="s">
        <v>50</v>
      </c>
      <c r="K44" s="18" t="s">
        <v>53</v>
      </c>
      <c r="L44" s="16" t="s">
        <v>50</v>
      </c>
      <c r="M44" s="16" t="s">
        <v>50</v>
      </c>
      <c r="N44" s="16" t="s">
        <v>50</v>
      </c>
      <c r="O44" s="16" t="s">
        <v>50</v>
      </c>
      <c r="P44" s="16" t="s">
        <v>50</v>
      </c>
      <c r="Q44" s="18" t="s">
        <v>53</v>
      </c>
      <c r="R44" s="16" t="s">
        <v>50</v>
      </c>
      <c r="S44" s="16" t="s">
        <v>50</v>
      </c>
      <c r="T44" s="27" t="s">
        <v>53</v>
      </c>
      <c r="U44" s="16" t="s">
        <v>50</v>
      </c>
      <c r="V44" s="16" t="s">
        <v>50</v>
      </c>
      <c r="W44" s="16" t="s">
        <v>50</v>
      </c>
      <c r="X44" s="16" t="s">
        <v>50</v>
      </c>
      <c r="Y44" s="16" t="s">
        <v>50</v>
      </c>
      <c r="Z44" s="16" t="s">
        <v>50</v>
      </c>
      <c r="AA44" s="16" t="s">
        <v>50</v>
      </c>
      <c r="AB44" s="16" t="s">
        <v>50</v>
      </c>
      <c r="AC44" s="16" t="s">
        <v>50</v>
      </c>
      <c r="AD44" s="16" t="s">
        <v>50</v>
      </c>
      <c r="AE44" s="16" t="s">
        <v>50</v>
      </c>
      <c r="AF44" s="16" t="s">
        <v>50</v>
      </c>
      <c r="AG44" s="16" t="s">
        <v>50</v>
      </c>
      <c r="AH44" s="16" t="s">
        <v>50</v>
      </c>
      <c r="AI44" s="16" t="s">
        <v>50</v>
      </c>
      <c r="AJ44" s="18" t="s">
        <v>53</v>
      </c>
      <c r="AK44" s="16" t="s">
        <v>50</v>
      </c>
      <c r="AL44" s="16" t="s">
        <v>50</v>
      </c>
      <c r="AM44" s="16" t="s">
        <v>50</v>
      </c>
      <c r="AN44" s="16" t="s">
        <v>50</v>
      </c>
      <c r="AO44" s="16" t="s">
        <v>50</v>
      </c>
      <c r="AP44" s="16" t="s">
        <v>50</v>
      </c>
      <c r="AQ44" s="16" t="s">
        <v>50</v>
      </c>
      <c r="AR44" s="5">
        <f t="shared" si="0"/>
        <v>4</v>
      </c>
      <c r="AS44" s="5">
        <f t="shared" si="1"/>
        <v>0</v>
      </c>
      <c r="AT44" s="5">
        <f t="shared" si="2"/>
        <v>38</v>
      </c>
      <c r="AU44">
        <f t="shared" si="3"/>
        <v>0</v>
      </c>
      <c r="AV44">
        <f t="shared" si="4"/>
        <v>0</v>
      </c>
      <c r="AW44">
        <f t="shared" si="6"/>
        <v>42</v>
      </c>
    </row>
    <row r="45" spans="1:49" x14ac:dyDescent="0.35">
      <c r="A45" s="5" t="s">
        <v>97</v>
      </c>
      <c r="B45" s="29" t="s">
        <v>51</v>
      </c>
      <c r="C45" s="16" t="s">
        <v>50</v>
      </c>
      <c r="D45" s="16" t="s">
        <v>50</v>
      </c>
      <c r="E45" s="26" t="s">
        <v>51</v>
      </c>
      <c r="F45" s="16" t="s">
        <v>50</v>
      </c>
      <c r="G45" s="16" t="s">
        <v>50</v>
      </c>
      <c r="H45" s="27" t="s">
        <v>53</v>
      </c>
      <c r="I45" s="26" t="s">
        <v>51</v>
      </c>
      <c r="J45" s="16" t="s">
        <v>51</v>
      </c>
      <c r="K45" s="16" t="s">
        <v>50</v>
      </c>
      <c r="L45" s="16" t="s">
        <v>50</v>
      </c>
      <c r="M45" s="16" t="s">
        <v>51</v>
      </c>
      <c r="N45" s="16" t="s">
        <v>50</v>
      </c>
      <c r="O45" s="16" t="s">
        <v>50</v>
      </c>
      <c r="P45" s="16" t="s">
        <v>50</v>
      </c>
      <c r="Q45" s="26" t="s">
        <v>51</v>
      </c>
      <c r="R45" s="16" t="s">
        <v>51</v>
      </c>
      <c r="S45" s="16" t="s">
        <v>51</v>
      </c>
      <c r="T45" s="26" t="s">
        <v>51</v>
      </c>
      <c r="U45" s="16" t="s">
        <v>50</v>
      </c>
      <c r="V45" s="16" t="s">
        <v>50</v>
      </c>
      <c r="W45" s="16" t="s">
        <v>50</v>
      </c>
      <c r="X45" s="16" t="s">
        <v>50</v>
      </c>
      <c r="Y45" s="26" t="s">
        <v>51</v>
      </c>
      <c r="Z45" s="16" t="s">
        <v>50</v>
      </c>
      <c r="AA45" s="16" t="s">
        <v>50</v>
      </c>
      <c r="AB45" s="26" t="s">
        <v>51</v>
      </c>
      <c r="AC45" s="16" t="s">
        <v>51</v>
      </c>
      <c r="AD45" s="16" t="s">
        <v>51</v>
      </c>
      <c r="AE45" s="16" t="s">
        <v>51</v>
      </c>
      <c r="AF45" s="26" t="s">
        <v>51</v>
      </c>
      <c r="AG45" s="16" t="s">
        <v>50</v>
      </c>
      <c r="AH45" s="16" t="s">
        <v>50</v>
      </c>
      <c r="AI45" s="26" t="s">
        <v>51</v>
      </c>
      <c r="AJ45" s="16" t="s">
        <v>51</v>
      </c>
      <c r="AK45" s="16" t="s">
        <v>50</v>
      </c>
      <c r="AL45" s="16" t="s">
        <v>50</v>
      </c>
      <c r="AM45" s="41" t="s">
        <v>53</v>
      </c>
      <c r="AN45" s="16" t="s">
        <v>50</v>
      </c>
      <c r="AO45" s="16" t="s">
        <v>50</v>
      </c>
      <c r="AP45" s="16" t="s">
        <v>50</v>
      </c>
      <c r="AQ45" s="16" t="s">
        <v>51</v>
      </c>
      <c r="AR45" s="5">
        <f t="shared" si="0"/>
        <v>2</v>
      </c>
      <c r="AS45" s="5">
        <f t="shared" si="1"/>
        <v>18</v>
      </c>
      <c r="AT45" s="5">
        <f t="shared" si="2"/>
        <v>22</v>
      </c>
      <c r="AU45">
        <f t="shared" si="3"/>
        <v>0</v>
      </c>
      <c r="AV45">
        <f t="shared" si="4"/>
        <v>0</v>
      </c>
      <c r="AW45">
        <f t="shared" si="6"/>
        <v>42</v>
      </c>
    </row>
    <row r="46" spans="1:49" x14ac:dyDescent="0.35">
      <c r="A46" s="5" t="s">
        <v>98</v>
      </c>
      <c r="B46" s="27" t="s">
        <v>53</v>
      </c>
      <c r="C46" s="18" t="s">
        <v>53</v>
      </c>
      <c r="D46" s="18" t="s">
        <v>53</v>
      </c>
      <c r="E46" s="18" t="s">
        <v>53</v>
      </c>
      <c r="F46" s="16" t="s">
        <v>50</v>
      </c>
      <c r="G46" s="34" t="s">
        <v>50</v>
      </c>
      <c r="H46" s="18" t="s">
        <v>53</v>
      </c>
      <c r="I46" s="16" t="s">
        <v>50</v>
      </c>
      <c r="J46" s="16" t="s">
        <v>50</v>
      </c>
      <c r="K46" s="27" t="s">
        <v>53</v>
      </c>
      <c r="L46" s="16" t="s">
        <v>50</v>
      </c>
      <c r="M46" s="18" t="s">
        <v>53</v>
      </c>
      <c r="N46" s="18" t="s">
        <v>53</v>
      </c>
      <c r="O46" s="18" t="s">
        <v>53</v>
      </c>
      <c r="P46" s="16" t="s">
        <v>50</v>
      </c>
      <c r="Q46" s="18" t="s">
        <v>53</v>
      </c>
      <c r="R46" s="18" t="s">
        <v>53</v>
      </c>
      <c r="S46" s="31" t="s">
        <v>53</v>
      </c>
      <c r="T46" s="18" t="s">
        <v>53</v>
      </c>
      <c r="U46" s="16" t="s">
        <v>63</v>
      </c>
      <c r="V46" s="16" t="s">
        <v>50</v>
      </c>
      <c r="W46" s="18" t="s">
        <v>53</v>
      </c>
      <c r="X46" s="16" t="s">
        <v>50</v>
      </c>
      <c r="Y46" s="16" t="s">
        <v>50</v>
      </c>
      <c r="Z46" s="18" t="s">
        <v>53</v>
      </c>
      <c r="AA46" s="18" t="s">
        <v>53</v>
      </c>
      <c r="AB46" s="18" t="s">
        <v>53</v>
      </c>
      <c r="AC46" s="18" t="s">
        <v>53</v>
      </c>
      <c r="AD46" s="25" t="s">
        <v>53</v>
      </c>
      <c r="AE46" s="18" t="s">
        <v>53</v>
      </c>
      <c r="AF46" s="16" t="s">
        <v>50</v>
      </c>
      <c r="AG46" s="16" t="s">
        <v>50</v>
      </c>
      <c r="AH46" s="18" t="s">
        <v>53</v>
      </c>
      <c r="AI46" s="18" t="s">
        <v>53</v>
      </c>
      <c r="AJ46" s="16" t="s">
        <v>50</v>
      </c>
      <c r="AK46" s="16" t="s">
        <v>50</v>
      </c>
      <c r="AL46" s="18" t="s">
        <v>53</v>
      </c>
      <c r="AM46" s="18" t="s">
        <v>53</v>
      </c>
      <c r="AN46" s="18" t="s">
        <v>53</v>
      </c>
      <c r="AO46" s="18" t="s">
        <v>53</v>
      </c>
      <c r="AP46" s="16" t="s">
        <v>50</v>
      </c>
      <c r="AQ46" s="18" t="s">
        <v>53</v>
      </c>
      <c r="AR46" s="5">
        <f t="shared" si="0"/>
        <v>27</v>
      </c>
      <c r="AS46" s="5">
        <f t="shared" si="1"/>
        <v>0</v>
      </c>
      <c r="AT46" s="5">
        <f t="shared" si="2"/>
        <v>14</v>
      </c>
      <c r="AU46">
        <f t="shared" si="3"/>
        <v>1</v>
      </c>
      <c r="AV46">
        <f t="shared" si="4"/>
        <v>0</v>
      </c>
      <c r="AW46">
        <f t="shared" ref="AW46:AW109" si="7">SUM(AR46:AU46)</f>
        <v>42</v>
      </c>
    </row>
    <row r="47" spans="1:49" x14ac:dyDescent="0.35">
      <c r="A47" s="5" t="s">
        <v>99</v>
      </c>
      <c r="B47" s="16" t="s">
        <v>50</v>
      </c>
      <c r="C47" s="16" t="s">
        <v>50</v>
      </c>
      <c r="D47" s="16" t="s">
        <v>50</v>
      </c>
      <c r="E47" s="18" t="s">
        <v>53</v>
      </c>
      <c r="F47" s="16" t="s">
        <v>50</v>
      </c>
      <c r="G47" s="16" t="s">
        <v>50</v>
      </c>
      <c r="H47" s="16" t="s">
        <v>50</v>
      </c>
      <c r="I47" s="16" t="s">
        <v>50</v>
      </c>
      <c r="J47" s="16" t="s">
        <v>50</v>
      </c>
      <c r="K47" s="16" t="s">
        <v>50</v>
      </c>
      <c r="L47" s="16" t="s">
        <v>50</v>
      </c>
      <c r="M47" s="16" t="s">
        <v>50</v>
      </c>
      <c r="N47" s="16" t="s">
        <v>50</v>
      </c>
      <c r="O47" s="16" t="s">
        <v>50</v>
      </c>
      <c r="P47" s="16" t="s">
        <v>50</v>
      </c>
      <c r="Q47" s="16" t="s">
        <v>50</v>
      </c>
      <c r="R47" s="16" t="s">
        <v>50</v>
      </c>
      <c r="S47" s="16" t="s">
        <v>50</v>
      </c>
      <c r="T47" s="27" t="s">
        <v>53</v>
      </c>
      <c r="U47" s="16" t="s">
        <v>50</v>
      </c>
      <c r="V47" s="16" t="s">
        <v>50</v>
      </c>
      <c r="W47" s="16" t="s">
        <v>50</v>
      </c>
      <c r="X47" s="16" t="s">
        <v>50</v>
      </c>
      <c r="Y47" s="16" t="s">
        <v>50</v>
      </c>
      <c r="Z47" s="16" t="s">
        <v>50</v>
      </c>
      <c r="AA47" s="16" t="s">
        <v>50</v>
      </c>
      <c r="AB47" s="16" t="s">
        <v>50</v>
      </c>
      <c r="AC47" s="16" t="s">
        <v>50</v>
      </c>
      <c r="AD47" s="16" t="s">
        <v>50</v>
      </c>
      <c r="AE47" s="16" t="s">
        <v>50</v>
      </c>
      <c r="AF47" s="16" t="s">
        <v>50</v>
      </c>
      <c r="AG47" s="16" t="s">
        <v>50</v>
      </c>
      <c r="AH47" s="16" t="s">
        <v>50</v>
      </c>
      <c r="AI47" s="16" t="s">
        <v>50</v>
      </c>
      <c r="AJ47" s="16" t="s">
        <v>50</v>
      </c>
      <c r="AK47" s="16" t="s">
        <v>50</v>
      </c>
      <c r="AL47" s="16" t="s">
        <v>50</v>
      </c>
      <c r="AM47" s="18" t="s">
        <v>53</v>
      </c>
      <c r="AN47" s="16" t="s">
        <v>50</v>
      </c>
      <c r="AO47" s="16" t="s">
        <v>50</v>
      </c>
      <c r="AP47" s="16" t="s">
        <v>50</v>
      </c>
      <c r="AQ47" s="16" t="s">
        <v>50</v>
      </c>
      <c r="AR47" s="5">
        <f t="shared" si="0"/>
        <v>3</v>
      </c>
      <c r="AS47" s="5">
        <f t="shared" si="1"/>
        <v>0</v>
      </c>
      <c r="AT47" s="5">
        <f t="shared" si="2"/>
        <v>39</v>
      </c>
      <c r="AU47">
        <f t="shared" si="3"/>
        <v>0</v>
      </c>
      <c r="AV47">
        <f t="shared" si="4"/>
        <v>0</v>
      </c>
      <c r="AW47">
        <f t="shared" si="7"/>
        <v>42</v>
      </c>
    </row>
    <row r="48" spans="1:49" x14ac:dyDescent="0.35">
      <c r="A48" s="5" t="s">
        <v>100</v>
      </c>
      <c r="B48" s="27" t="s">
        <v>53</v>
      </c>
      <c r="C48" s="16" t="s">
        <v>50</v>
      </c>
      <c r="D48" s="16" t="s">
        <v>51</v>
      </c>
      <c r="E48" s="16" t="s">
        <v>50</v>
      </c>
      <c r="F48" s="16" t="s">
        <v>50</v>
      </c>
      <c r="G48" s="16" t="s">
        <v>50</v>
      </c>
      <c r="H48" s="16" t="s">
        <v>50</v>
      </c>
      <c r="I48" s="16" t="s">
        <v>50</v>
      </c>
      <c r="J48" s="16" t="s">
        <v>50</v>
      </c>
      <c r="K48" s="16" t="s">
        <v>50</v>
      </c>
      <c r="L48" s="16" t="s">
        <v>50</v>
      </c>
      <c r="M48" s="16" t="s">
        <v>50</v>
      </c>
      <c r="N48" s="16" t="s">
        <v>50</v>
      </c>
      <c r="O48" s="16" t="s">
        <v>50</v>
      </c>
      <c r="P48" s="16" t="s">
        <v>50</v>
      </c>
      <c r="Q48" s="16" t="s">
        <v>50</v>
      </c>
      <c r="R48" s="16" t="s">
        <v>50</v>
      </c>
      <c r="S48" s="16" t="s">
        <v>50</v>
      </c>
      <c r="T48" s="16" t="s">
        <v>50</v>
      </c>
      <c r="U48" s="16" t="s">
        <v>51</v>
      </c>
      <c r="V48" s="16" t="s">
        <v>50</v>
      </c>
      <c r="W48" s="16" t="s">
        <v>50</v>
      </c>
      <c r="X48" s="16" t="s">
        <v>50</v>
      </c>
      <c r="Y48" s="31" t="s">
        <v>53</v>
      </c>
      <c r="Z48" s="18" t="s">
        <v>53</v>
      </c>
      <c r="AA48" s="18" t="s">
        <v>53</v>
      </c>
      <c r="AB48" s="16" t="s">
        <v>50</v>
      </c>
      <c r="AC48" s="16" t="s">
        <v>51</v>
      </c>
      <c r="AD48" s="16" t="s">
        <v>50</v>
      </c>
      <c r="AE48" s="16" t="s">
        <v>50</v>
      </c>
      <c r="AF48" s="16" t="s">
        <v>50</v>
      </c>
      <c r="AG48" s="16" t="s">
        <v>50</v>
      </c>
      <c r="AH48" s="18" t="s">
        <v>53</v>
      </c>
      <c r="AI48" s="16" t="s">
        <v>50</v>
      </c>
      <c r="AJ48" s="16" t="s">
        <v>50</v>
      </c>
      <c r="AK48" s="16" t="s">
        <v>50</v>
      </c>
      <c r="AL48" s="16" t="s">
        <v>50</v>
      </c>
      <c r="AM48" s="16" t="s">
        <v>50</v>
      </c>
      <c r="AN48" s="18" t="s">
        <v>53</v>
      </c>
      <c r="AO48" s="18" t="s">
        <v>53</v>
      </c>
      <c r="AP48" s="16" t="s">
        <v>50</v>
      </c>
      <c r="AQ48" s="16" t="s">
        <v>50</v>
      </c>
      <c r="AR48" s="5">
        <f t="shared" si="0"/>
        <v>7</v>
      </c>
      <c r="AS48" s="5">
        <f t="shared" si="1"/>
        <v>3</v>
      </c>
      <c r="AT48" s="5">
        <f t="shared" si="2"/>
        <v>32</v>
      </c>
      <c r="AU48">
        <f t="shared" si="3"/>
        <v>0</v>
      </c>
      <c r="AV48">
        <f t="shared" si="4"/>
        <v>0</v>
      </c>
      <c r="AW48">
        <f t="shared" si="7"/>
        <v>42</v>
      </c>
    </row>
    <row r="49" spans="1:49" x14ac:dyDescent="0.35">
      <c r="A49" s="5" t="s">
        <v>101</v>
      </c>
      <c r="B49" s="16" t="s">
        <v>50</v>
      </c>
      <c r="C49" s="27" t="s">
        <v>53</v>
      </c>
      <c r="D49" s="16" t="s">
        <v>50</v>
      </c>
      <c r="E49" s="18" t="s">
        <v>53</v>
      </c>
      <c r="F49" s="16" t="s">
        <v>50</v>
      </c>
      <c r="G49" s="18" t="s">
        <v>53</v>
      </c>
      <c r="H49" s="18" t="s">
        <v>53</v>
      </c>
      <c r="I49" s="18" t="s">
        <v>53</v>
      </c>
      <c r="J49" s="26" t="s">
        <v>51</v>
      </c>
      <c r="K49" s="18" t="s">
        <v>53</v>
      </c>
      <c r="L49" s="16" t="s">
        <v>50</v>
      </c>
      <c r="M49" s="16" t="s">
        <v>50</v>
      </c>
      <c r="N49" s="18" t="s">
        <v>53</v>
      </c>
      <c r="O49" s="18" t="s">
        <v>53</v>
      </c>
      <c r="P49" s="18" t="s">
        <v>53</v>
      </c>
      <c r="Q49" s="18" t="s">
        <v>53</v>
      </c>
      <c r="R49" s="16" t="s">
        <v>50</v>
      </c>
      <c r="S49" s="18" t="s">
        <v>53</v>
      </c>
      <c r="T49" s="27" t="s">
        <v>53</v>
      </c>
      <c r="U49" s="16" t="s">
        <v>50</v>
      </c>
      <c r="V49" s="26" t="s">
        <v>51</v>
      </c>
      <c r="W49" s="18" t="s">
        <v>53</v>
      </c>
      <c r="X49" s="16" t="s">
        <v>50</v>
      </c>
      <c r="Y49" s="18" t="s">
        <v>53</v>
      </c>
      <c r="Z49" s="27" t="s">
        <v>53</v>
      </c>
      <c r="AA49" s="18" t="s">
        <v>53</v>
      </c>
      <c r="AB49" s="18" t="s">
        <v>53</v>
      </c>
      <c r="AC49" s="16" t="s">
        <v>50</v>
      </c>
      <c r="AD49" s="16" t="s">
        <v>50</v>
      </c>
      <c r="AE49" s="16" t="s">
        <v>50</v>
      </c>
      <c r="AF49" s="16" t="s">
        <v>50</v>
      </c>
      <c r="AG49" s="16" t="s">
        <v>50</v>
      </c>
      <c r="AH49" s="18" t="s">
        <v>53</v>
      </c>
      <c r="AI49" s="18" t="s">
        <v>53</v>
      </c>
      <c r="AJ49" s="18" t="s">
        <v>53</v>
      </c>
      <c r="AK49" s="16" t="s">
        <v>50</v>
      </c>
      <c r="AL49" s="16" t="s">
        <v>50</v>
      </c>
      <c r="AM49" s="16" t="s">
        <v>50</v>
      </c>
      <c r="AN49" s="18" t="s">
        <v>53</v>
      </c>
      <c r="AO49" s="16" t="s">
        <v>50</v>
      </c>
      <c r="AP49" s="16" t="s">
        <v>50</v>
      </c>
      <c r="AQ49" s="27" t="s">
        <v>53</v>
      </c>
      <c r="AR49" s="5">
        <f t="shared" si="0"/>
        <v>22</v>
      </c>
      <c r="AS49" s="5">
        <f t="shared" si="1"/>
        <v>2</v>
      </c>
      <c r="AT49" s="5">
        <f t="shared" si="2"/>
        <v>18</v>
      </c>
      <c r="AU49">
        <f t="shared" si="3"/>
        <v>0</v>
      </c>
      <c r="AV49">
        <f t="shared" si="4"/>
        <v>0</v>
      </c>
      <c r="AW49">
        <f t="shared" si="7"/>
        <v>42</v>
      </c>
    </row>
    <row r="50" spans="1:49" x14ac:dyDescent="0.35">
      <c r="A50" s="5" t="s">
        <v>102</v>
      </c>
      <c r="B50" s="16" t="s">
        <v>50</v>
      </c>
      <c r="C50" s="16" t="s">
        <v>50</v>
      </c>
      <c r="D50" s="16" t="s">
        <v>50</v>
      </c>
      <c r="E50" s="16" t="s">
        <v>51</v>
      </c>
      <c r="F50" s="26" t="s">
        <v>51</v>
      </c>
      <c r="G50" s="16" t="s">
        <v>50</v>
      </c>
      <c r="H50" s="16" t="s">
        <v>50</v>
      </c>
      <c r="I50" s="16" t="s">
        <v>50</v>
      </c>
      <c r="J50" s="16" t="s">
        <v>50</v>
      </c>
      <c r="K50" s="27" t="s">
        <v>53</v>
      </c>
      <c r="L50" s="16" t="s">
        <v>50</v>
      </c>
      <c r="M50" s="16" t="s">
        <v>51</v>
      </c>
      <c r="N50" s="16" t="s">
        <v>50</v>
      </c>
      <c r="O50" s="16" t="s">
        <v>51</v>
      </c>
      <c r="P50" s="16" t="s">
        <v>50</v>
      </c>
      <c r="Q50" s="16" t="s">
        <v>50</v>
      </c>
      <c r="R50" s="16" t="s">
        <v>50</v>
      </c>
      <c r="S50" s="16" t="s">
        <v>50</v>
      </c>
      <c r="T50" s="16" t="s">
        <v>50</v>
      </c>
      <c r="U50" s="16" t="s">
        <v>50</v>
      </c>
      <c r="V50" s="16" t="s">
        <v>50</v>
      </c>
      <c r="W50" s="16" t="s">
        <v>51</v>
      </c>
      <c r="X50" s="16" t="s">
        <v>50</v>
      </c>
      <c r="Y50" s="16" t="s">
        <v>50</v>
      </c>
      <c r="Z50" s="43" t="s">
        <v>51</v>
      </c>
      <c r="AA50" s="16" t="s">
        <v>50</v>
      </c>
      <c r="AB50" s="16" t="s">
        <v>50</v>
      </c>
      <c r="AC50" s="16" t="s">
        <v>51</v>
      </c>
      <c r="AD50" s="21" t="s">
        <v>51</v>
      </c>
      <c r="AE50" s="16" t="s">
        <v>51</v>
      </c>
      <c r="AF50" s="16" t="s">
        <v>50</v>
      </c>
      <c r="AG50" s="16" t="s">
        <v>50</v>
      </c>
      <c r="AH50" s="26" t="s">
        <v>309</v>
      </c>
      <c r="AI50" s="16" t="s">
        <v>50</v>
      </c>
      <c r="AJ50" s="16" t="s">
        <v>50</v>
      </c>
      <c r="AK50" s="16" t="s">
        <v>50</v>
      </c>
      <c r="AL50" s="16" t="s">
        <v>51</v>
      </c>
      <c r="AM50" s="16" t="s">
        <v>50</v>
      </c>
      <c r="AN50" s="16" t="s">
        <v>50</v>
      </c>
      <c r="AO50" s="16" t="s">
        <v>50</v>
      </c>
      <c r="AP50" s="16" t="s">
        <v>50</v>
      </c>
      <c r="AQ50" s="16" t="s">
        <v>50</v>
      </c>
      <c r="AR50" s="5">
        <f t="shared" si="0"/>
        <v>1</v>
      </c>
      <c r="AS50" s="5">
        <f t="shared" si="1"/>
        <v>10</v>
      </c>
      <c r="AT50" s="5">
        <f t="shared" si="2"/>
        <v>30</v>
      </c>
      <c r="AU50">
        <f t="shared" si="3"/>
        <v>1</v>
      </c>
      <c r="AV50">
        <f t="shared" si="4"/>
        <v>0</v>
      </c>
      <c r="AW50">
        <f t="shared" si="7"/>
        <v>42</v>
      </c>
    </row>
    <row r="51" spans="1:49" x14ac:dyDescent="0.35">
      <c r="A51" s="5" t="s">
        <v>103</v>
      </c>
      <c r="B51" s="16" t="s">
        <v>50</v>
      </c>
      <c r="C51" s="16" t="s">
        <v>50</v>
      </c>
      <c r="D51" s="16" t="s">
        <v>50</v>
      </c>
      <c r="E51" s="18" t="s">
        <v>53</v>
      </c>
      <c r="F51" s="27" t="s">
        <v>53</v>
      </c>
      <c r="G51" s="16" t="s">
        <v>50</v>
      </c>
      <c r="H51" s="16" t="s">
        <v>50</v>
      </c>
      <c r="I51" s="16" t="s">
        <v>50</v>
      </c>
      <c r="J51" s="16" t="s">
        <v>50</v>
      </c>
      <c r="K51" s="27" t="s">
        <v>53</v>
      </c>
      <c r="L51" s="16" t="s">
        <v>50</v>
      </c>
      <c r="M51" s="16" t="s">
        <v>50</v>
      </c>
      <c r="N51" s="16" t="s">
        <v>50</v>
      </c>
      <c r="O51" s="18" t="s">
        <v>53</v>
      </c>
      <c r="P51" s="16" t="s">
        <v>50</v>
      </c>
      <c r="Q51" s="16" t="s">
        <v>50</v>
      </c>
      <c r="R51" s="16" t="s">
        <v>50</v>
      </c>
      <c r="S51" s="16" t="s">
        <v>50</v>
      </c>
      <c r="T51" s="27" t="s">
        <v>53</v>
      </c>
      <c r="U51" s="16" t="s">
        <v>50</v>
      </c>
      <c r="V51" s="16" t="s">
        <v>50</v>
      </c>
      <c r="W51" s="18" t="s">
        <v>53</v>
      </c>
      <c r="X51" s="16" t="s">
        <v>50</v>
      </c>
      <c r="Y51" s="16" t="s">
        <v>50</v>
      </c>
      <c r="Z51" s="18" t="s">
        <v>53</v>
      </c>
      <c r="AA51" s="16" t="s">
        <v>50</v>
      </c>
      <c r="AB51" s="16" t="s">
        <v>50</v>
      </c>
      <c r="AC51" s="18" t="s">
        <v>53</v>
      </c>
      <c r="AD51" s="18" t="s">
        <v>53</v>
      </c>
      <c r="AE51" s="18" t="s">
        <v>53</v>
      </c>
      <c r="AF51" s="16" t="s">
        <v>50</v>
      </c>
      <c r="AG51" s="16" t="s">
        <v>50</v>
      </c>
      <c r="AH51" s="18" t="s">
        <v>53</v>
      </c>
      <c r="AI51" s="16" t="s">
        <v>50</v>
      </c>
      <c r="AJ51" s="16" t="s">
        <v>50</v>
      </c>
      <c r="AK51" s="16" t="s">
        <v>50</v>
      </c>
      <c r="AL51" s="18" t="s">
        <v>53</v>
      </c>
      <c r="AM51" s="16" t="s">
        <v>50</v>
      </c>
      <c r="AN51" s="16" t="s">
        <v>50</v>
      </c>
      <c r="AO51" s="16" t="s">
        <v>50</v>
      </c>
      <c r="AP51" s="16" t="s">
        <v>50</v>
      </c>
      <c r="AQ51" s="16" t="s">
        <v>50</v>
      </c>
      <c r="AR51" s="5">
        <f t="shared" si="0"/>
        <v>12</v>
      </c>
      <c r="AS51" s="5">
        <f t="shared" si="1"/>
        <v>0</v>
      </c>
      <c r="AT51" s="5">
        <f t="shared" si="2"/>
        <v>30</v>
      </c>
      <c r="AU51">
        <f t="shared" si="3"/>
        <v>0</v>
      </c>
      <c r="AV51">
        <f t="shared" si="4"/>
        <v>0</v>
      </c>
      <c r="AW51">
        <f t="shared" si="7"/>
        <v>42</v>
      </c>
    </row>
    <row r="52" spans="1:49" x14ac:dyDescent="0.35">
      <c r="A52" s="5" t="s">
        <v>104</v>
      </c>
      <c r="B52" s="18" t="s">
        <v>53</v>
      </c>
      <c r="C52" s="18" t="s">
        <v>53</v>
      </c>
      <c r="D52" s="16" t="s">
        <v>50</v>
      </c>
      <c r="E52" s="18" t="s">
        <v>53</v>
      </c>
      <c r="F52" s="18" t="s">
        <v>53</v>
      </c>
      <c r="G52" s="18" t="s">
        <v>53</v>
      </c>
      <c r="H52" s="18" t="s">
        <v>53</v>
      </c>
      <c r="I52" s="18" t="s">
        <v>53</v>
      </c>
      <c r="J52" s="27" t="s">
        <v>53</v>
      </c>
      <c r="K52" s="27" t="s">
        <v>53</v>
      </c>
      <c r="L52" s="27" t="s">
        <v>53</v>
      </c>
      <c r="M52" s="27" t="s">
        <v>53</v>
      </c>
      <c r="N52" s="27" t="s">
        <v>53</v>
      </c>
      <c r="O52" s="16" t="s">
        <v>50</v>
      </c>
      <c r="P52" s="18" t="s">
        <v>53</v>
      </c>
      <c r="Q52" s="16" t="s">
        <v>50</v>
      </c>
      <c r="R52" s="16" t="s">
        <v>50</v>
      </c>
      <c r="S52" s="18" t="s">
        <v>53</v>
      </c>
      <c r="T52" s="16" t="s">
        <v>50</v>
      </c>
      <c r="U52" s="16" t="s">
        <v>50</v>
      </c>
      <c r="V52" s="27" t="s">
        <v>53</v>
      </c>
      <c r="W52" s="16" t="s">
        <v>50</v>
      </c>
      <c r="X52" s="16" t="s">
        <v>50</v>
      </c>
      <c r="Y52" s="27" t="s">
        <v>53</v>
      </c>
      <c r="Z52" s="27" t="s">
        <v>53</v>
      </c>
      <c r="AA52" s="18" t="s">
        <v>53</v>
      </c>
      <c r="AB52" s="27" t="s">
        <v>53</v>
      </c>
      <c r="AC52" s="18" t="s">
        <v>53</v>
      </c>
      <c r="AD52" s="18" t="s">
        <v>53</v>
      </c>
      <c r="AE52" s="16" t="s">
        <v>50</v>
      </c>
      <c r="AF52" s="27" t="s">
        <v>53</v>
      </c>
      <c r="AG52" s="16" t="s">
        <v>50</v>
      </c>
      <c r="AH52" s="18" t="s">
        <v>53</v>
      </c>
      <c r="AI52" s="16" t="s">
        <v>50</v>
      </c>
      <c r="AJ52" s="18" t="s">
        <v>53</v>
      </c>
      <c r="AK52" s="16" t="s">
        <v>50</v>
      </c>
      <c r="AL52" s="16" t="s">
        <v>50</v>
      </c>
      <c r="AM52" s="27" t="s">
        <v>53</v>
      </c>
      <c r="AN52" s="27" t="s">
        <v>53</v>
      </c>
      <c r="AO52" s="27" t="s">
        <v>53</v>
      </c>
      <c r="AP52" s="27" t="s">
        <v>53</v>
      </c>
      <c r="AQ52" s="16" t="s">
        <v>50</v>
      </c>
      <c r="AR52" s="5">
        <f t="shared" si="0"/>
        <v>28</v>
      </c>
      <c r="AS52" s="5">
        <f t="shared" si="1"/>
        <v>0</v>
      </c>
      <c r="AT52" s="5">
        <f t="shared" si="2"/>
        <v>14</v>
      </c>
      <c r="AU52">
        <f t="shared" si="3"/>
        <v>0</v>
      </c>
      <c r="AV52">
        <f t="shared" si="4"/>
        <v>0</v>
      </c>
      <c r="AW52">
        <f t="shared" si="7"/>
        <v>42</v>
      </c>
    </row>
    <row r="53" spans="1:49" x14ac:dyDescent="0.35">
      <c r="A53" s="5" t="s">
        <v>105</v>
      </c>
      <c r="B53" s="29" t="s">
        <v>51</v>
      </c>
      <c r="C53" s="16" t="s">
        <v>50</v>
      </c>
      <c r="D53" s="16" t="s">
        <v>50</v>
      </c>
      <c r="E53" s="16" t="s">
        <v>50</v>
      </c>
      <c r="F53" s="16" t="s">
        <v>50</v>
      </c>
      <c r="G53" s="16" t="s">
        <v>50</v>
      </c>
      <c r="H53" s="16" t="s">
        <v>50</v>
      </c>
      <c r="I53" s="16" t="s">
        <v>50</v>
      </c>
      <c r="J53" s="16" t="s">
        <v>51</v>
      </c>
      <c r="K53" s="16" t="s">
        <v>50</v>
      </c>
      <c r="L53" s="16" t="s">
        <v>50</v>
      </c>
      <c r="M53" s="16" t="s">
        <v>50</v>
      </c>
      <c r="N53" s="16" t="s">
        <v>50</v>
      </c>
      <c r="O53" s="16" t="s">
        <v>50</v>
      </c>
      <c r="P53" s="16" t="s">
        <v>50</v>
      </c>
      <c r="Q53" s="16" t="s">
        <v>50</v>
      </c>
      <c r="R53" s="16" t="s">
        <v>50</v>
      </c>
      <c r="S53" s="16" t="s">
        <v>50</v>
      </c>
      <c r="T53" s="16" t="s">
        <v>50</v>
      </c>
      <c r="U53" s="16" t="s">
        <v>50</v>
      </c>
      <c r="V53" s="16" t="s">
        <v>50</v>
      </c>
      <c r="W53" s="16" t="s">
        <v>50</v>
      </c>
      <c r="X53" s="16" t="s">
        <v>50</v>
      </c>
      <c r="Y53" s="16" t="s">
        <v>50</v>
      </c>
      <c r="Z53" s="16" t="s">
        <v>50</v>
      </c>
      <c r="AA53" s="26" t="s">
        <v>51</v>
      </c>
      <c r="AB53" s="26" t="s">
        <v>51</v>
      </c>
      <c r="AC53" s="16" t="s">
        <v>50</v>
      </c>
      <c r="AD53" s="16" t="s">
        <v>50</v>
      </c>
      <c r="AE53" s="16" t="s">
        <v>50</v>
      </c>
      <c r="AF53" s="16" t="s">
        <v>50</v>
      </c>
      <c r="AG53" s="16" t="s">
        <v>50</v>
      </c>
      <c r="AH53" s="16" t="s">
        <v>50</v>
      </c>
      <c r="AI53" s="16" t="s">
        <v>50</v>
      </c>
      <c r="AJ53" s="16" t="s">
        <v>50</v>
      </c>
      <c r="AK53" s="16" t="s">
        <v>50</v>
      </c>
      <c r="AL53" s="16" t="s">
        <v>50</v>
      </c>
      <c r="AM53" s="16" t="s">
        <v>50</v>
      </c>
      <c r="AN53" s="26" t="s">
        <v>51</v>
      </c>
      <c r="AO53" s="16" t="s">
        <v>50</v>
      </c>
      <c r="AP53" s="16" t="s">
        <v>50</v>
      </c>
      <c r="AQ53" s="16" t="s">
        <v>50</v>
      </c>
      <c r="AR53" s="5">
        <f t="shared" si="0"/>
        <v>0</v>
      </c>
      <c r="AS53" s="5">
        <f t="shared" si="1"/>
        <v>5</v>
      </c>
      <c r="AT53" s="5">
        <f t="shared" si="2"/>
        <v>37</v>
      </c>
      <c r="AU53">
        <f t="shared" si="3"/>
        <v>0</v>
      </c>
      <c r="AV53">
        <f t="shared" si="4"/>
        <v>0</v>
      </c>
      <c r="AW53">
        <f t="shared" si="7"/>
        <v>42</v>
      </c>
    </row>
    <row r="54" spans="1:49" x14ac:dyDescent="0.35">
      <c r="A54" s="5" t="s">
        <v>106</v>
      </c>
      <c r="B54" s="16" t="s">
        <v>50</v>
      </c>
      <c r="C54" s="16" t="s">
        <v>50</v>
      </c>
      <c r="D54" s="16" t="s">
        <v>50</v>
      </c>
      <c r="E54" s="16" t="s">
        <v>50</v>
      </c>
      <c r="F54" s="16" t="s">
        <v>50</v>
      </c>
      <c r="G54" s="16" t="s">
        <v>50</v>
      </c>
      <c r="H54" s="16" t="s">
        <v>50</v>
      </c>
      <c r="I54" s="16" t="s">
        <v>50</v>
      </c>
      <c r="J54" s="16" t="s">
        <v>51</v>
      </c>
      <c r="K54" s="16" t="s">
        <v>50</v>
      </c>
      <c r="L54" s="16" t="s">
        <v>50</v>
      </c>
      <c r="M54" s="16" t="s">
        <v>50</v>
      </c>
      <c r="N54" s="16" t="s">
        <v>50</v>
      </c>
      <c r="O54" s="16" t="s">
        <v>50</v>
      </c>
      <c r="P54" s="16" t="s">
        <v>50</v>
      </c>
      <c r="Q54" s="16" t="s">
        <v>50</v>
      </c>
      <c r="R54" s="26" t="s">
        <v>51</v>
      </c>
      <c r="S54" s="16" t="s">
        <v>50</v>
      </c>
      <c r="T54" s="16" t="s">
        <v>50</v>
      </c>
      <c r="U54" s="16" t="s">
        <v>50</v>
      </c>
      <c r="V54" s="16" t="s">
        <v>50</v>
      </c>
      <c r="W54" s="16" t="s">
        <v>50</v>
      </c>
      <c r="X54" s="16" t="s">
        <v>50</v>
      </c>
      <c r="Y54" s="16" t="s">
        <v>50</v>
      </c>
      <c r="Z54" s="16" t="s">
        <v>50</v>
      </c>
      <c r="AA54" s="16" t="s">
        <v>51</v>
      </c>
      <c r="AB54" s="26" t="s">
        <v>51</v>
      </c>
      <c r="AC54" s="16" t="s">
        <v>50</v>
      </c>
      <c r="AD54" s="16" t="s">
        <v>50</v>
      </c>
      <c r="AE54" s="16" t="s">
        <v>50</v>
      </c>
      <c r="AF54" s="16" t="s">
        <v>50</v>
      </c>
      <c r="AG54" s="16" t="s">
        <v>50</v>
      </c>
      <c r="AH54" s="16" t="s">
        <v>50</v>
      </c>
      <c r="AI54" s="16" t="s">
        <v>50</v>
      </c>
      <c r="AJ54" s="16" t="s">
        <v>50</v>
      </c>
      <c r="AK54" s="16" t="s">
        <v>50</v>
      </c>
      <c r="AL54" s="16" t="s">
        <v>50</v>
      </c>
      <c r="AM54" s="16" t="s">
        <v>50</v>
      </c>
      <c r="AN54" s="26" t="s">
        <v>51</v>
      </c>
      <c r="AO54" s="16" t="s">
        <v>50</v>
      </c>
      <c r="AP54" s="16" t="s">
        <v>50</v>
      </c>
      <c r="AQ54" s="16" t="s">
        <v>50</v>
      </c>
      <c r="AR54" s="5">
        <f t="shared" si="0"/>
        <v>0</v>
      </c>
      <c r="AS54" s="5">
        <f t="shared" si="1"/>
        <v>5</v>
      </c>
      <c r="AT54" s="5">
        <f t="shared" si="2"/>
        <v>37</v>
      </c>
      <c r="AU54">
        <f t="shared" si="3"/>
        <v>0</v>
      </c>
      <c r="AV54">
        <f t="shared" si="4"/>
        <v>0</v>
      </c>
      <c r="AW54">
        <f t="shared" si="7"/>
        <v>42</v>
      </c>
    </row>
    <row r="55" spans="1:49" x14ac:dyDescent="0.35">
      <c r="A55" s="5" t="s">
        <v>107</v>
      </c>
      <c r="B55" s="16" t="s">
        <v>50</v>
      </c>
      <c r="C55" s="16" t="s">
        <v>50</v>
      </c>
      <c r="D55" s="16" t="s">
        <v>50</v>
      </c>
      <c r="E55" s="16" t="s">
        <v>50</v>
      </c>
      <c r="F55" s="16" t="s">
        <v>50</v>
      </c>
      <c r="G55" s="16" t="s">
        <v>50</v>
      </c>
      <c r="H55" s="16" t="s">
        <v>50</v>
      </c>
      <c r="I55" s="16" t="s">
        <v>50</v>
      </c>
      <c r="J55" s="16" t="s">
        <v>50</v>
      </c>
      <c r="K55" s="16" t="s">
        <v>51</v>
      </c>
      <c r="L55" s="16" t="s">
        <v>50</v>
      </c>
      <c r="M55" s="16" t="s">
        <v>50</v>
      </c>
      <c r="N55" s="16" t="s">
        <v>51</v>
      </c>
      <c r="O55" s="16" t="s">
        <v>50</v>
      </c>
      <c r="P55" s="16" t="s">
        <v>50</v>
      </c>
      <c r="Q55" s="16" t="s">
        <v>50</v>
      </c>
      <c r="R55" s="16" t="s">
        <v>50</v>
      </c>
      <c r="S55" s="16" t="s">
        <v>50</v>
      </c>
      <c r="T55" s="16" t="s">
        <v>50</v>
      </c>
      <c r="U55" s="16" t="s">
        <v>50</v>
      </c>
      <c r="V55" s="16" t="s">
        <v>50</v>
      </c>
      <c r="W55" s="16" t="s">
        <v>50</v>
      </c>
      <c r="X55" s="16" t="s">
        <v>50</v>
      </c>
      <c r="Y55" s="16" t="s">
        <v>50</v>
      </c>
      <c r="Z55" s="16" t="s">
        <v>50</v>
      </c>
      <c r="AA55" s="16" t="s">
        <v>50</v>
      </c>
      <c r="AB55" s="16" t="s">
        <v>50</v>
      </c>
      <c r="AC55" s="16" t="s">
        <v>50</v>
      </c>
      <c r="AD55" s="16" t="s">
        <v>50</v>
      </c>
      <c r="AE55" s="16" t="s">
        <v>50</v>
      </c>
      <c r="AF55" s="16" t="s">
        <v>50</v>
      </c>
      <c r="AG55" s="16" t="s">
        <v>50</v>
      </c>
      <c r="AH55" s="16" t="s">
        <v>50</v>
      </c>
      <c r="AI55" s="16" t="s">
        <v>50</v>
      </c>
      <c r="AJ55" s="16" t="s">
        <v>50</v>
      </c>
      <c r="AK55" s="16" t="s">
        <v>50</v>
      </c>
      <c r="AL55" s="16" t="s">
        <v>50</v>
      </c>
      <c r="AM55" s="16" t="s">
        <v>50</v>
      </c>
      <c r="AN55" s="16" t="s">
        <v>50</v>
      </c>
      <c r="AO55" s="16" t="s">
        <v>51</v>
      </c>
      <c r="AP55" s="16" t="s">
        <v>50</v>
      </c>
      <c r="AQ55" s="16" t="s">
        <v>50</v>
      </c>
      <c r="AR55" s="5">
        <f t="shared" si="0"/>
        <v>0</v>
      </c>
      <c r="AS55" s="5">
        <f t="shared" si="1"/>
        <v>3</v>
      </c>
      <c r="AT55" s="5">
        <f t="shared" si="2"/>
        <v>39</v>
      </c>
      <c r="AU55">
        <f t="shared" si="3"/>
        <v>0</v>
      </c>
      <c r="AV55">
        <f t="shared" si="4"/>
        <v>0</v>
      </c>
      <c r="AW55">
        <f t="shared" si="7"/>
        <v>42</v>
      </c>
    </row>
    <row r="56" spans="1:49" x14ac:dyDescent="0.35">
      <c r="A56" s="5" t="s">
        <v>108</v>
      </c>
      <c r="B56" s="18" t="s">
        <v>53</v>
      </c>
      <c r="C56" s="18" t="s">
        <v>53</v>
      </c>
      <c r="D56" s="16" t="s">
        <v>50</v>
      </c>
      <c r="E56" s="18" t="s">
        <v>53</v>
      </c>
      <c r="F56" s="18" t="s">
        <v>53</v>
      </c>
      <c r="G56" s="18" t="s">
        <v>53</v>
      </c>
      <c r="H56" s="18" t="s">
        <v>53</v>
      </c>
      <c r="I56" s="18" t="s">
        <v>53</v>
      </c>
      <c r="J56" s="27" t="s">
        <v>53</v>
      </c>
      <c r="K56" s="27" t="s">
        <v>53</v>
      </c>
      <c r="L56" s="27" t="s">
        <v>53</v>
      </c>
      <c r="M56" s="27" t="s">
        <v>53</v>
      </c>
      <c r="N56" s="27" t="s">
        <v>53</v>
      </c>
      <c r="O56" s="16" t="s">
        <v>50</v>
      </c>
      <c r="P56" s="18" t="s">
        <v>53</v>
      </c>
      <c r="Q56" s="28" t="s">
        <v>50</v>
      </c>
      <c r="R56" s="27" t="s">
        <v>53</v>
      </c>
      <c r="S56" s="18" t="s">
        <v>53</v>
      </c>
      <c r="T56" s="16" t="s">
        <v>50</v>
      </c>
      <c r="U56" s="16" t="s">
        <v>50</v>
      </c>
      <c r="V56" s="16" t="s">
        <v>50</v>
      </c>
      <c r="W56" s="16" t="s">
        <v>50</v>
      </c>
      <c r="X56" s="27" t="s">
        <v>53</v>
      </c>
      <c r="Y56" s="27" t="s">
        <v>53</v>
      </c>
      <c r="Z56" s="27" t="s">
        <v>53</v>
      </c>
      <c r="AA56" s="18" t="s">
        <v>53</v>
      </c>
      <c r="AB56" s="27" t="s">
        <v>53</v>
      </c>
      <c r="AC56" s="18" t="s">
        <v>53</v>
      </c>
      <c r="AD56" s="16" t="s">
        <v>50</v>
      </c>
      <c r="AE56" s="27" t="s">
        <v>53</v>
      </c>
      <c r="AF56" s="27" t="s">
        <v>53</v>
      </c>
      <c r="AG56" s="16" t="s">
        <v>50</v>
      </c>
      <c r="AH56" s="18" t="s">
        <v>53</v>
      </c>
      <c r="AI56" s="16" t="s">
        <v>50</v>
      </c>
      <c r="AJ56" s="18" t="s">
        <v>53</v>
      </c>
      <c r="AK56" s="16" t="s">
        <v>50</v>
      </c>
      <c r="AL56" s="16" t="s">
        <v>50</v>
      </c>
      <c r="AM56" s="27" t="s">
        <v>53</v>
      </c>
      <c r="AN56" s="27" t="s">
        <v>53</v>
      </c>
      <c r="AO56" s="27" t="s">
        <v>53</v>
      </c>
      <c r="AP56" s="27" t="s">
        <v>53</v>
      </c>
      <c r="AQ56" s="16" t="s">
        <v>50</v>
      </c>
      <c r="AR56" s="5">
        <f t="shared" si="0"/>
        <v>29</v>
      </c>
      <c r="AS56" s="5">
        <f t="shared" si="1"/>
        <v>0</v>
      </c>
      <c r="AT56" s="5">
        <f t="shared" si="2"/>
        <v>13</v>
      </c>
      <c r="AU56">
        <f t="shared" si="3"/>
        <v>0</v>
      </c>
      <c r="AV56">
        <f t="shared" si="4"/>
        <v>0</v>
      </c>
      <c r="AW56">
        <f t="shared" si="7"/>
        <v>42</v>
      </c>
    </row>
    <row r="57" spans="1:49" x14ac:dyDescent="0.35">
      <c r="A57" s="5" t="s">
        <v>109</v>
      </c>
      <c r="B57" s="18" t="s">
        <v>53</v>
      </c>
      <c r="C57" s="27" t="s">
        <v>53</v>
      </c>
      <c r="D57" s="18" t="s">
        <v>53</v>
      </c>
      <c r="E57" s="16" t="s">
        <v>51</v>
      </c>
      <c r="F57" s="16" t="s">
        <v>50</v>
      </c>
      <c r="G57" s="18" t="s">
        <v>53</v>
      </c>
      <c r="H57" s="18" t="s">
        <v>53</v>
      </c>
      <c r="I57" s="18" t="s">
        <v>53</v>
      </c>
      <c r="J57" s="18" t="s">
        <v>53</v>
      </c>
      <c r="K57" s="26" t="s">
        <v>51</v>
      </c>
      <c r="L57" s="16" t="s">
        <v>51</v>
      </c>
      <c r="M57" s="16" t="s">
        <v>51</v>
      </c>
      <c r="N57" s="16" t="s">
        <v>51</v>
      </c>
      <c r="O57" s="18" t="s">
        <v>53</v>
      </c>
      <c r="P57" s="16" t="s">
        <v>50</v>
      </c>
      <c r="Q57" s="18" t="s">
        <v>53</v>
      </c>
      <c r="R57" s="18" t="s">
        <v>53</v>
      </c>
      <c r="S57" s="18" t="s">
        <v>53</v>
      </c>
      <c r="T57" s="18" t="s">
        <v>53</v>
      </c>
      <c r="U57" s="31" t="s">
        <v>53</v>
      </c>
      <c r="V57" s="18" t="s">
        <v>53</v>
      </c>
      <c r="W57" s="18" t="s">
        <v>53</v>
      </c>
      <c r="X57" s="18" t="s">
        <v>53</v>
      </c>
      <c r="Y57" s="18" t="s">
        <v>53</v>
      </c>
      <c r="Z57" s="18" t="s">
        <v>53</v>
      </c>
      <c r="AA57" s="18" t="s">
        <v>53</v>
      </c>
      <c r="AB57" s="18" t="s">
        <v>53</v>
      </c>
      <c r="AC57" s="18" t="s">
        <v>53</v>
      </c>
      <c r="AD57" s="18" t="s">
        <v>53</v>
      </c>
      <c r="AE57" s="18" t="s">
        <v>53</v>
      </c>
      <c r="AF57" s="18" t="s">
        <v>53</v>
      </c>
      <c r="AG57" s="18" t="s">
        <v>53</v>
      </c>
      <c r="AH57" s="18" t="s">
        <v>53</v>
      </c>
      <c r="AI57" s="16" t="s">
        <v>51</v>
      </c>
      <c r="AJ57" s="18" t="s">
        <v>53</v>
      </c>
      <c r="AK57" s="16" t="s">
        <v>50</v>
      </c>
      <c r="AL57" s="16" t="s">
        <v>50</v>
      </c>
      <c r="AM57" s="18" t="s">
        <v>53</v>
      </c>
      <c r="AN57" s="18" t="s">
        <v>53</v>
      </c>
      <c r="AO57" s="18" t="s">
        <v>53</v>
      </c>
      <c r="AP57" s="18" t="s">
        <v>53</v>
      </c>
      <c r="AQ57" s="18" t="s">
        <v>53</v>
      </c>
      <c r="AR57" s="5">
        <f t="shared" si="0"/>
        <v>32</v>
      </c>
      <c r="AS57" s="5">
        <f t="shared" si="1"/>
        <v>6</v>
      </c>
      <c r="AT57" s="5">
        <f t="shared" si="2"/>
        <v>4</v>
      </c>
      <c r="AU57">
        <f t="shared" si="3"/>
        <v>0</v>
      </c>
      <c r="AV57">
        <f t="shared" si="4"/>
        <v>0</v>
      </c>
      <c r="AW57">
        <f t="shared" si="7"/>
        <v>42</v>
      </c>
    </row>
    <row r="58" spans="1:49" x14ac:dyDescent="0.35">
      <c r="A58" s="5" t="s">
        <v>110</v>
      </c>
      <c r="B58" s="16" t="s">
        <v>50</v>
      </c>
      <c r="C58" s="16" t="s">
        <v>50</v>
      </c>
      <c r="D58" s="16" t="s">
        <v>50</v>
      </c>
      <c r="E58" s="18" t="s">
        <v>53</v>
      </c>
      <c r="F58" s="26" t="s">
        <v>51</v>
      </c>
      <c r="G58" s="16" t="s">
        <v>50</v>
      </c>
      <c r="H58" s="16" t="s">
        <v>50</v>
      </c>
      <c r="I58" s="26" t="s">
        <v>51</v>
      </c>
      <c r="J58" s="16" t="s">
        <v>50</v>
      </c>
      <c r="K58" s="27" t="s">
        <v>53</v>
      </c>
      <c r="L58" s="16" t="s">
        <v>50</v>
      </c>
      <c r="M58" s="16" t="s">
        <v>50</v>
      </c>
      <c r="N58" s="16" t="s">
        <v>50</v>
      </c>
      <c r="O58" s="16" t="s">
        <v>50</v>
      </c>
      <c r="P58" s="16" t="s">
        <v>50</v>
      </c>
      <c r="Q58" s="16" t="s">
        <v>50</v>
      </c>
      <c r="R58" s="16" t="s">
        <v>50</v>
      </c>
      <c r="S58" s="16" t="s">
        <v>50</v>
      </c>
      <c r="T58" s="16" t="s">
        <v>50</v>
      </c>
      <c r="U58" s="28" t="s">
        <v>50</v>
      </c>
      <c r="V58" s="16" t="s">
        <v>50</v>
      </c>
      <c r="W58" s="18" t="s">
        <v>53</v>
      </c>
      <c r="X58" s="16" t="s">
        <v>50</v>
      </c>
      <c r="Y58" s="16" t="s">
        <v>50</v>
      </c>
      <c r="Z58" s="18" t="s">
        <v>53</v>
      </c>
      <c r="AA58" s="16" t="s">
        <v>50</v>
      </c>
      <c r="AB58" s="16" t="s">
        <v>50</v>
      </c>
      <c r="AC58" s="18" t="s">
        <v>53</v>
      </c>
      <c r="AD58" s="18" t="s">
        <v>53</v>
      </c>
      <c r="AE58" s="18" t="s">
        <v>53</v>
      </c>
      <c r="AF58" s="16" t="s">
        <v>50</v>
      </c>
      <c r="AG58" s="16" t="s">
        <v>50</v>
      </c>
      <c r="AH58" s="18" t="s">
        <v>53</v>
      </c>
      <c r="AI58" s="18" t="s">
        <v>53</v>
      </c>
      <c r="AJ58" s="16" t="s">
        <v>50</v>
      </c>
      <c r="AK58" s="16" t="s">
        <v>50</v>
      </c>
      <c r="AL58" s="18" t="s">
        <v>53</v>
      </c>
      <c r="AM58" s="27" t="s">
        <v>53</v>
      </c>
      <c r="AN58" s="16" t="s">
        <v>50</v>
      </c>
      <c r="AO58" s="16" t="s">
        <v>50</v>
      </c>
      <c r="AP58" s="16" t="s">
        <v>50</v>
      </c>
      <c r="AQ58" s="16" t="s">
        <v>50</v>
      </c>
      <c r="AR58" s="5">
        <f t="shared" si="0"/>
        <v>11</v>
      </c>
      <c r="AS58" s="5">
        <f t="shared" si="1"/>
        <v>2</v>
      </c>
      <c r="AT58" s="5">
        <f t="shared" si="2"/>
        <v>29</v>
      </c>
      <c r="AU58">
        <f t="shared" si="3"/>
        <v>0</v>
      </c>
      <c r="AV58">
        <f t="shared" si="4"/>
        <v>0</v>
      </c>
      <c r="AW58">
        <f t="shared" si="7"/>
        <v>42</v>
      </c>
    </row>
    <row r="59" spans="1:49" x14ac:dyDescent="0.35">
      <c r="A59" s="5" t="s">
        <v>111</v>
      </c>
      <c r="B59" s="18" t="s">
        <v>53</v>
      </c>
      <c r="C59" s="18" t="s">
        <v>53</v>
      </c>
      <c r="D59" s="18" t="s">
        <v>53</v>
      </c>
      <c r="E59" s="18" t="s">
        <v>53</v>
      </c>
      <c r="F59" s="18" t="s">
        <v>53</v>
      </c>
      <c r="G59" s="18" t="s">
        <v>53</v>
      </c>
      <c r="H59" s="18" t="s">
        <v>53</v>
      </c>
      <c r="I59" s="18" t="s">
        <v>53</v>
      </c>
      <c r="J59" s="18" t="s">
        <v>53</v>
      </c>
      <c r="K59" s="18" t="s">
        <v>53</v>
      </c>
      <c r="L59" s="18" t="s">
        <v>53</v>
      </c>
      <c r="M59" s="18" t="s">
        <v>53</v>
      </c>
      <c r="N59" s="18" t="s">
        <v>53</v>
      </c>
      <c r="O59" s="18" t="s">
        <v>53</v>
      </c>
      <c r="P59" s="18" t="s">
        <v>53</v>
      </c>
      <c r="Q59" s="18" t="s">
        <v>53</v>
      </c>
      <c r="R59" s="18" t="s">
        <v>53</v>
      </c>
      <c r="S59" s="18" t="s">
        <v>53</v>
      </c>
      <c r="T59" s="18" t="s">
        <v>53</v>
      </c>
      <c r="U59" s="18" t="s">
        <v>53</v>
      </c>
      <c r="V59" s="18" t="s">
        <v>53</v>
      </c>
      <c r="W59" s="18" t="s">
        <v>53</v>
      </c>
      <c r="X59" s="16" t="s">
        <v>50</v>
      </c>
      <c r="Y59" s="18" t="s">
        <v>53</v>
      </c>
      <c r="Z59" s="18" t="s">
        <v>53</v>
      </c>
      <c r="AA59" s="18" t="s">
        <v>53</v>
      </c>
      <c r="AB59" s="18" t="s">
        <v>53</v>
      </c>
      <c r="AC59" s="18" t="s">
        <v>53</v>
      </c>
      <c r="AD59" s="25" t="s">
        <v>53</v>
      </c>
      <c r="AE59" s="18" t="s">
        <v>53</v>
      </c>
      <c r="AF59" s="18" t="s">
        <v>53</v>
      </c>
      <c r="AG59" s="16" t="s">
        <v>50</v>
      </c>
      <c r="AH59" s="18" t="s">
        <v>53</v>
      </c>
      <c r="AI59" s="18" t="s">
        <v>53</v>
      </c>
      <c r="AJ59" s="18" t="s">
        <v>53</v>
      </c>
      <c r="AK59" s="18" t="s">
        <v>53</v>
      </c>
      <c r="AL59" s="18" t="s">
        <v>53</v>
      </c>
      <c r="AM59" s="18" t="s">
        <v>53</v>
      </c>
      <c r="AN59" s="18" t="s">
        <v>53</v>
      </c>
      <c r="AO59" s="18" t="s">
        <v>53</v>
      </c>
      <c r="AP59" s="18" t="s">
        <v>53</v>
      </c>
      <c r="AQ59" s="18" t="s">
        <v>53</v>
      </c>
      <c r="AR59" s="5">
        <f t="shared" si="0"/>
        <v>40</v>
      </c>
      <c r="AS59" s="5">
        <f t="shared" si="1"/>
        <v>0</v>
      </c>
      <c r="AT59" s="5">
        <f t="shared" si="2"/>
        <v>2</v>
      </c>
      <c r="AU59">
        <f t="shared" si="3"/>
        <v>0</v>
      </c>
      <c r="AV59">
        <f t="shared" si="4"/>
        <v>0</v>
      </c>
      <c r="AW59">
        <f t="shared" si="7"/>
        <v>42</v>
      </c>
    </row>
    <row r="60" spans="1:49" x14ac:dyDescent="0.35">
      <c r="A60" s="5" t="s">
        <v>112</v>
      </c>
      <c r="B60" s="18" t="s">
        <v>53</v>
      </c>
      <c r="C60" s="18" t="s">
        <v>53</v>
      </c>
      <c r="D60" s="18" t="s">
        <v>53</v>
      </c>
      <c r="E60" s="18" t="s">
        <v>53</v>
      </c>
      <c r="F60" s="18" t="s">
        <v>53</v>
      </c>
      <c r="G60" s="18" t="s">
        <v>53</v>
      </c>
      <c r="H60" s="18" t="s">
        <v>53</v>
      </c>
      <c r="I60" s="18" t="s">
        <v>53</v>
      </c>
      <c r="J60" s="18" t="s">
        <v>53</v>
      </c>
      <c r="K60" s="18" t="s">
        <v>53</v>
      </c>
      <c r="L60" s="18" t="s">
        <v>53</v>
      </c>
      <c r="M60" s="18" t="s">
        <v>53</v>
      </c>
      <c r="N60" s="18" t="s">
        <v>53</v>
      </c>
      <c r="O60" s="18" t="s">
        <v>53</v>
      </c>
      <c r="P60" s="18" t="s">
        <v>53</v>
      </c>
      <c r="Q60" s="18" t="s">
        <v>53</v>
      </c>
      <c r="R60" s="18" t="s">
        <v>53</v>
      </c>
      <c r="S60" s="18" t="s">
        <v>53</v>
      </c>
      <c r="T60" s="18" t="s">
        <v>53</v>
      </c>
      <c r="U60" s="16" t="s">
        <v>63</v>
      </c>
      <c r="V60" s="18" t="s">
        <v>53</v>
      </c>
      <c r="W60" s="18" t="s">
        <v>53</v>
      </c>
      <c r="X60" s="18" t="s">
        <v>53</v>
      </c>
      <c r="Y60" s="18" t="s">
        <v>53</v>
      </c>
      <c r="Z60" s="18" t="s">
        <v>53</v>
      </c>
      <c r="AA60" s="18" t="s">
        <v>53</v>
      </c>
      <c r="AB60" s="18" t="s">
        <v>53</v>
      </c>
      <c r="AC60" s="18" t="s">
        <v>53</v>
      </c>
      <c r="AD60" s="25" t="s">
        <v>53</v>
      </c>
      <c r="AE60" s="18" t="s">
        <v>53</v>
      </c>
      <c r="AF60" s="18" t="s">
        <v>53</v>
      </c>
      <c r="AG60" s="18" t="s">
        <v>53</v>
      </c>
      <c r="AH60" s="18" t="s">
        <v>53</v>
      </c>
      <c r="AI60" s="18" t="s">
        <v>53</v>
      </c>
      <c r="AJ60" s="16" t="s">
        <v>50</v>
      </c>
      <c r="AK60" s="18" t="s">
        <v>53</v>
      </c>
      <c r="AL60" s="18" t="s">
        <v>53</v>
      </c>
      <c r="AM60" s="18" t="s">
        <v>53</v>
      </c>
      <c r="AN60" s="18" t="s">
        <v>53</v>
      </c>
      <c r="AO60" s="18" t="s">
        <v>53</v>
      </c>
      <c r="AP60" s="18" t="s">
        <v>53</v>
      </c>
      <c r="AQ60" s="18" t="s">
        <v>53</v>
      </c>
      <c r="AR60" s="5">
        <f t="shared" si="0"/>
        <v>40</v>
      </c>
      <c r="AS60" s="5">
        <f t="shared" si="1"/>
        <v>0</v>
      </c>
      <c r="AT60" s="5">
        <f t="shared" si="2"/>
        <v>1</v>
      </c>
      <c r="AU60">
        <f t="shared" si="3"/>
        <v>1</v>
      </c>
      <c r="AV60">
        <f t="shared" si="4"/>
        <v>0</v>
      </c>
      <c r="AW60">
        <f t="shared" si="7"/>
        <v>42</v>
      </c>
    </row>
    <row r="61" spans="1:49" x14ac:dyDescent="0.35">
      <c r="A61" s="5" t="s">
        <v>308</v>
      </c>
      <c r="B61" s="16" t="s">
        <v>50</v>
      </c>
      <c r="C61" s="16" t="s">
        <v>50</v>
      </c>
      <c r="D61" s="26" t="s">
        <v>51</v>
      </c>
      <c r="E61" s="16" t="s">
        <v>50</v>
      </c>
      <c r="F61" s="16" t="s">
        <v>51</v>
      </c>
      <c r="G61" s="16" t="s">
        <v>51</v>
      </c>
      <c r="H61" s="28" t="s">
        <v>50</v>
      </c>
      <c r="I61" s="16" t="s">
        <v>51</v>
      </c>
      <c r="J61" s="16" t="s">
        <v>51</v>
      </c>
      <c r="K61" s="16" t="s">
        <v>51</v>
      </c>
      <c r="L61" s="16" t="s">
        <v>50</v>
      </c>
      <c r="M61" s="16" t="s">
        <v>50</v>
      </c>
      <c r="N61" s="16" t="s">
        <v>50</v>
      </c>
      <c r="O61" s="16" t="s">
        <v>50</v>
      </c>
      <c r="P61" s="16" t="s">
        <v>50</v>
      </c>
      <c r="Q61" s="16" t="s">
        <v>50</v>
      </c>
      <c r="R61" s="16" t="s">
        <v>50</v>
      </c>
      <c r="S61" s="16" t="s">
        <v>50</v>
      </c>
      <c r="T61" s="26" t="s">
        <v>51</v>
      </c>
      <c r="U61" s="26" t="s">
        <v>51</v>
      </c>
      <c r="V61" s="16" t="s">
        <v>51</v>
      </c>
      <c r="W61" s="16" t="s">
        <v>50</v>
      </c>
      <c r="X61" s="18" t="s">
        <v>53</v>
      </c>
      <c r="Y61" s="16" t="s">
        <v>50</v>
      </c>
      <c r="Z61" s="16" t="s">
        <v>51</v>
      </c>
      <c r="AA61" s="16" t="s">
        <v>50</v>
      </c>
      <c r="AB61" s="16" t="s">
        <v>51</v>
      </c>
      <c r="AC61" s="16" t="s">
        <v>50</v>
      </c>
      <c r="AD61" s="16" t="s">
        <v>51</v>
      </c>
      <c r="AE61" s="16" t="s">
        <v>51</v>
      </c>
      <c r="AF61" s="16" t="s">
        <v>50</v>
      </c>
      <c r="AG61" s="16" t="s">
        <v>50</v>
      </c>
      <c r="AH61" s="16" t="s">
        <v>51</v>
      </c>
      <c r="AI61" s="16" t="s">
        <v>51</v>
      </c>
      <c r="AJ61" s="18" t="s">
        <v>53</v>
      </c>
      <c r="AK61" s="16" t="s">
        <v>50</v>
      </c>
      <c r="AL61" s="16" t="s">
        <v>50</v>
      </c>
      <c r="AM61" s="16" t="s">
        <v>50</v>
      </c>
      <c r="AN61" s="16" t="s">
        <v>50</v>
      </c>
      <c r="AO61" s="16" t="s">
        <v>51</v>
      </c>
      <c r="AP61" s="16" t="s">
        <v>50</v>
      </c>
      <c r="AQ61" s="16" t="s">
        <v>50</v>
      </c>
      <c r="AR61" s="5">
        <f t="shared" si="0"/>
        <v>2</v>
      </c>
      <c r="AS61" s="5">
        <f t="shared" si="1"/>
        <v>16</v>
      </c>
      <c r="AT61" s="5">
        <f t="shared" si="2"/>
        <v>24</v>
      </c>
      <c r="AU61">
        <f t="shared" si="3"/>
        <v>0</v>
      </c>
      <c r="AV61">
        <f t="shared" si="4"/>
        <v>0</v>
      </c>
      <c r="AW61">
        <f t="shared" si="7"/>
        <v>42</v>
      </c>
    </row>
    <row r="62" spans="1:49" x14ac:dyDescent="0.35">
      <c r="A62" s="7" t="s">
        <v>113</v>
      </c>
      <c r="B62" s="18" t="s">
        <v>53</v>
      </c>
      <c r="C62" s="18" t="s">
        <v>53</v>
      </c>
      <c r="D62" s="18" t="s">
        <v>53</v>
      </c>
      <c r="E62" s="18" t="s">
        <v>53</v>
      </c>
      <c r="F62" s="18" t="s">
        <v>53</v>
      </c>
      <c r="G62" s="18" t="s">
        <v>53</v>
      </c>
      <c r="H62" s="18" t="s">
        <v>53</v>
      </c>
      <c r="I62" s="18" t="s">
        <v>53</v>
      </c>
      <c r="J62" s="27" t="s">
        <v>53</v>
      </c>
      <c r="K62" s="18" t="s">
        <v>53</v>
      </c>
      <c r="L62" s="27" t="s">
        <v>53</v>
      </c>
      <c r="M62" s="18" t="s">
        <v>53</v>
      </c>
      <c r="N62" s="18" t="s">
        <v>53</v>
      </c>
      <c r="O62" s="16" t="s">
        <v>50</v>
      </c>
      <c r="P62" s="16" t="s">
        <v>51</v>
      </c>
      <c r="Q62" s="18" t="s">
        <v>53</v>
      </c>
      <c r="R62" s="18" t="s">
        <v>53</v>
      </c>
      <c r="S62" s="27" t="s">
        <v>53</v>
      </c>
      <c r="T62" s="18" t="s">
        <v>53</v>
      </c>
      <c r="U62" s="18" t="s">
        <v>53</v>
      </c>
      <c r="V62" s="18" t="s">
        <v>53</v>
      </c>
      <c r="W62" s="18" t="s">
        <v>53</v>
      </c>
      <c r="X62" s="18" t="s">
        <v>53</v>
      </c>
      <c r="Y62" s="18" t="s">
        <v>53</v>
      </c>
      <c r="Z62" s="18" t="s">
        <v>53</v>
      </c>
      <c r="AA62" s="27" t="s">
        <v>53</v>
      </c>
      <c r="AB62" s="18" t="s">
        <v>53</v>
      </c>
      <c r="AC62" s="18" t="s">
        <v>53</v>
      </c>
      <c r="AD62" s="25" t="s">
        <v>53</v>
      </c>
      <c r="AE62" s="18" t="s">
        <v>53</v>
      </c>
      <c r="AF62" s="18" t="s">
        <v>53</v>
      </c>
      <c r="AG62" s="18" t="s">
        <v>53</v>
      </c>
      <c r="AH62" s="18" t="s">
        <v>53</v>
      </c>
      <c r="AI62" s="26" t="s">
        <v>51</v>
      </c>
      <c r="AJ62" s="18" t="s">
        <v>53</v>
      </c>
      <c r="AK62" s="18" t="s">
        <v>53</v>
      </c>
      <c r="AL62" s="18" t="s">
        <v>53</v>
      </c>
      <c r="AM62" s="18" t="s">
        <v>53</v>
      </c>
      <c r="AN62" s="18" t="s">
        <v>53</v>
      </c>
      <c r="AO62" s="18" t="s">
        <v>53</v>
      </c>
      <c r="AP62" s="18" t="s">
        <v>53</v>
      </c>
      <c r="AQ62" s="16" t="s">
        <v>51</v>
      </c>
      <c r="AR62" s="5">
        <f t="shared" si="0"/>
        <v>38</v>
      </c>
      <c r="AS62" s="5">
        <f t="shared" si="1"/>
        <v>3</v>
      </c>
      <c r="AT62" s="5">
        <f t="shared" si="2"/>
        <v>1</v>
      </c>
      <c r="AU62">
        <f t="shared" si="3"/>
        <v>0</v>
      </c>
      <c r="AV62">
        <f t="shared" si="4"/>
        <v>0</v>
      </c>
      <c r="AW62">
        <f t="shared" si="7"/>
        <v>42</v>
      </c>
    </row>
    <row r="63" spans="1:49" x14ac:dyDescent="0.35">
      <c r="A63" s="5" t="s">
        <v>114</v>
      </c>
      <c r="B63" s="16" t="s">
        <v>51</v>
      </c>
      <c r="C63" s="16" t="s">
        <v>51</v>
      </c>
      <c r="D63" s="18" t="s">
        <v>53</v>
      </c>
      <c r="E63" s="18" t="s">
        <v>53</v>
      </c>
      <c r="F63" s="18" t="s">
        <v>53</v>
      </c>
      <c r="G63" s="18" t="s">
        <v>53</v>
      </c>
      <c r="H63" s="16" t="s">
        <v>51</v>
      </c>
      <c r="I63" s="16" t="s">
        <v>51</v>
      </c>
      <c r="J63" s="18" t="s">
        <v>53</v>
      </c>
      <c r="K63" s="16" t="s">
        <v>51</v>
      </c>
      <c r="L63" s="28" t="s">
        <v>51</v>
      </c>
      <c r="M63" s="18" t="s">
        <v>53</v>
      </c>
      <c r="N63" s="18" t="s">
        <v>53</v>
      </c>
      <c r="O63" s="16" t="s">
        <v>51</v>
      </c>
      <c r="P63" s="16" t="s">
        <v>51</v>
      </c>
      <c r="Q63" s="16" t="s">
        <v>51</v>
      </c>
      <c r="R63" s="18" t="s">
        <v>53</v>
      </c>
      <c r="S63" s="16" t="s">
        <v>51</v>
      </c>
      <c r="T63" s="18" t="s">
        <v>53</v>
      </c>
      <c r="U63" s="18" t="s">
        <v>53</v>
      </c>
      <c r="V63" s="18" t="s">
        <v>53</v>
      </c>
      <c r="W63" s="31" t="s">
        <v>53</v>
      </c>
      <c r="X63" s="18" t="s">
        <v>53</v>
      </c>
      <c r="Y63" s="27" t="s">
        <v>53</v>
      </c>
      <c r="Z63" s="18" t="s">
        <v>53</v>
      </c>
      <c r="AA63" s="16" t="s">
        <v>51</v>
      </c>
      <c r="AB63" s="18" t="s">
        <v>53</v>
      </c>
      <c r="AC63" s="27" t="s">
        <v>53</v>
      </c>
      <c r="AD63" s="25" t="s">
        <v>53</v>
      </c>
      <c r="AE63" s="16" t="s">
        <v>51</v>
      </c>
      <c r="AF63" s="16" t="s">
        <v>51</v>
      </c>
      <c r="AG63" s="18" t="s">
        <v>53</v>
      </c>
      <c r="AH63" s="16" t="s">
        <v>50</v>
      </c>
      <c r="AI63" s="16" t="s">
        <v>50</v>
      </c>
      <c r="AJ63" s="16" t="s">
        <v>51</v>
      </c>
      <c r="AK63" s="18" t="s">
        <v>53</v>
      </c>
      <c r="AL63" s="26" t="s">
        <v>51</v>
      </c>
      <c r="AM63" s="16" t="s">
        <v>51</v>
      </c>
      <c r="AN63" s="16" t="s">
        <v>51</v>
      </c>
      <c r="AO63" s="16" t="s">
        <v>51</v>
      </c>
      <c r="AP63" s="16" t="s">
        <v>51</v>
      </c>
      <c r="AQ63" s="16" t="s">
        <v>51</v>
      </c>
      <c r="AR63" s="5">
        <f t="shared" si="0"/>
        <v>20</v>
      </c>
      <c r="AS63" s="5">
        <f t="shared" si="1"/>
        <v>20</v>
      </c>
      <c r="AT63" s="5">
        <f t="shared" si="2"/>
        <v>2</v>
      </c>
      <c r="AU63">
        <f t="shared" si="3"/>
        <v>0</v>
      </c>
      <c r="AV63">
        <f t="shared" si="4"/>
        <v>0</v>
      </c>
      <c r="AW63">
        <f t="shared" si="7"/>
        <v>42</v>
      </c>
    </row>
    <row r="64" spans="1:49" x14ac:dyDescent="0.35">
      <c r="A64" s="5" t="s">
        <v>115</v>
      </c>
      <c r="B64" s="16" t="s">
        <v>50</v>
      </c>
      <c r="C64" s="16" t="s">
        <v>50</v>
      </c>
      <c r="D64" s="27" t="s">
        <v>53</v>
      </c>
      <c r="E64" s="16" t="s">
        <v>50</v>
      </c>
      <c r="F64" s="16" t="s">
        <v>50</v>
      </c>
      <c r="G64" s="16" t="s">
        <v>50</v>
      </c>
      <c r="H64" s="16" t="s">
        <v>50</v>
      </c>
      <c r="I64" s="16" t="s">
        <v>50</v>
      </c>
      <c r="J64" s="16" t="s">
        <v>50</v>
      </c>
      <c r="K64" s="16" t="s">
        <v>50</v>
      </c>
      <c r="L64" s="16" t="s">
        <v>50</v>
      </c>
      <c r="M64" s="16" t="s">
        <v>50</v>
      </c>
      <c r="N64" s="16" t="s">
        <v>50</v>
      </c>
      <c r="O64" s="16" t="s">
        <v>50</v>
      </c>
      <c r="P64" s="16" t="s">
        <v>50</v>
      </c>
      <c r="Q64" s="16" t="s">
        <v>50</v>
      </c>
      <c r="R64" s="16" t="s">
        <v>50</v>
      </c>
      <c r="S64" s="16" t="s">
        <v>50</v>
      </c>
      <c r="T64" s="34" t="s">
        <v>50</v>
      </c>
      <c r="U64" s="18" t="s">
        <v>53</v>
      </c>
      <c r="V64" s="16" t="s">
        <v>50</v>
      </c>
      <c r="W64" s="16" t="s">
        <v>50</v>
      </c>
      <c r="X64" s="16" t="s">
        <v>50</v>
      </c>
      <c r="Y64" s="16" t="s">
        <v>50</v>
      </c>
      <c r="Z64" s="16" t="s">
        <v>50</v>
      </c>
      <c r="AA64" s="16" t="s">
        <v>50</v>
      </c>
      <c r="AB64" s="16" t="s">
        <v>50</v>
      </c>
      <c r="AC64" s="16" t="s">
        <v>50</v>
      </c>
      <c r="AD64" s="16" t="s">
        <v>50</v>
      </c>
      <c r="AE64" s="16" t="s">
        <v>50</v>
      </c>
      <c r="AF64" s="16" t="s">
        <v>50</v>
      </c>
      <c r="AG64" s="16" t="s">
        <v>50</v>
      </c>
      <c r="AH64" s="16" t="s">
        <v>50</v>
      </c>
      <c r="AI64" s="16" t="s">
        <v>50</v>
      </c>
      <c r="AJ64" s="16" t="s">
        <v>50</v>
      </c>
      <c r="AK64" s="16" t="s">
        <v>50</v>
      </c>
      <c r="AL64" s="16" t="s">
        <v>50</v>
      </c>
      <c r="AM64" s="28" t="s">
        <v>50</v>
      </c>
      <c r="AN64" s="16" t="s">
        <v>50</v>
      </c>
      <c r="AO64" s="16" t="s">
        <v>50</v>
      </c>
      <c r="AP64" s="16" t="s">
        <v>50</v>
      </c>
      <c r="AQ64" s="16" t="s">
        <v>50</v>
      </c>
      <c r="AR64" s="5">
        <f t="shared" si="0"/>
        <v>2</v>
      </c>
      <c r="AS64" s="5">
        <f t="shared" si="1"/>
        <v>0</v>
      </c>
      <c r="AT64" s="5">
        <f t="shared" si="2"/>
        <v>40</v>
      </c>
      <c r="AU64">
        <f t="shared" si="3"/>
        <v>0</v>
      </c>
      <c r="AV64">
        <f t="shared" si="4"/>
        <v>0</v>
      </c>
      <c r="AW64">
        <f t="shared" si="7"/>
        <v>42</v>
      </c>
    </row>
    <row r="65" spans="1:49" x14ac:dyDescent="0.35">
      <c r="A65" s="5" t="s">
        <v>116</v>
      </c>
      <c r="B65" s="16" t="s">
        <v>51</v>
      </c>
      <c r="C65" s="16" t="s">
        <v>51</v>
      </c>
      <c r="D65" s="16" t="s">
        <v>51</v>
      </c>
      <c r="E65" s="16" t="s">
        <v>51</v>
      </c>
      <c r="F65" s="27" t="s">
        <v>53</v>
      </c>
      <c r="G65" s="16" t="s">
        <v>51</v>
      </c>
      <c r="H65" s="16" t="s">
        <v>51</v>
      </c>
      <c r="I65" s="16" t="s">
        <v>51</v>
      </c>
      <c r="J65" s="16" t="s">
        <v>51</v>
      </c>
      <c r="K65" s="16" t="s">
        <v>51</v>
      </c>
      <c r="L65" s="16" t="s">
        <v>51</v>
      </c>
      <c r="M65" s="18" t="s">
        <v>53</v>
      </c>
      <c r="N65" s="16" t="s">
        <v>51</v>
      </c>
      <c r="O65" s="16" t="s">
        <v>51</v>
      </c>
      <c r="P65" s="16" t="s">
        <v>51</v>
      </c>
      <c r="Q65" s="16" t="s">
        <v>51</v>
      </c>
      <c r="R65" s="16" t="s">
        <v>51</v>
      </c>
      <c r="S65" s="16" t="s">
        <v>51</v>
      </c>
      <c r="T65" s="16" t="s">
        <v>51</v>
      </c>
      <c r="U65" s="18" t="s">
        <v>53</v>
      </c>
      <c r="V65" s="18" t="s">
        <v>53</v>
      </c>
      <c r="W65" s="18" t="s">
        <v>53</v>
      </c>
      <c r="X65" s="16" t="s">
        <v>51</v>
      </c>
      <c r="Y65" s="16" t="s">
        <v>51</v>
      </c>
      <c r="Z65" s="18" t="s">
        <v>53</v>
      </c>
      <c r="AA65" s="16" t="s">
        <v>51</v>
      </c>
      <c r="AB65" s="16" t="s">
        <v>51</v>
      </c>
      <c r="AC65" s="16" t="s">
        <v>51</v>
      </c>
      <c r="AD65" s="21" t="s">
        <v>51</v>
      </c>
      <c r="AE65" s="16" t="s">
        <v>51</v>
      </c>
      <c r="AF65" s="16" t="s">
        <v>51</v>
      </c>
      <c r="AG65" s="16" t="s">
        <v>50</v>
      </c>
      <c r="AH65" s="16" t="s">
        <v>51</v>
      </c>
      <c r="AI65" s="26" t="s">
        <v>51</v>
      </c>
      <c r="AJ65" s="16" t="s">
        <v>51</v>
      </c>
      <c r="AK65" s="26" t="s">
        <v>51</v>
      </c>
      <c r="AL65" s="28" t="s">
        <v>51</v>
      </c>
      <c r="AM65" s="16" t="s">
        <v>51</v>
      </c>
      <c r="AN65" s="26" t="s">
        <v>51</v>
      </c>
      <c r="AO65" s="34" t="s">
        <v>51</v>
      </c>
      <c r="AP65" s="16" t="s">
        <v>51</v>
      </c>
      <c r="AQ65" s="16" t="s">
        <v>51</v>
      </c>
      <c r="AR65" s="5">
        <f t="shared" si="0"/>
        <v>6</v>
      </c>
      <c r="AS65" s="5">
        <f t="shared" si="1"/>
        <v>35</v>
      </c>
      <c r="AT65" s="5">
        <f t="shared" si="2"/>
        <v>1</v>
      </c>
      <c r="AU65">
        <f t="shared" si="3"/>
        <v>0</v>
      </c>
      <c r="AV65">
        <f t="shared" si="4"/>
        <v>0</v>
      </c>
      <c r="AW65">
        <f t="shared" si="7"/>
        <v>42</v>
      </c>
    </row>
    <row r="66" spans="1:49" x14ac:dyDescent="0.35">
      <c r="A66" t="s">
        <v>117</v>
      </c>
      <c r="B66" s="16" t="s">
        <v>50</v>
      </c>
      <c r="C66" s="16" t="s">
        <v>50</v>
      </c>
      <c r="D66" s="16" t="s">
        <v>50</v>
      </c>
      <c r="E66" s="16" t="s">
        <v>50</v>
      </c>
      <c r="F66" s="16" t="s">
        <v>50</v>
      </c>
      <c r="G66" s="27" t="s">
        <v>53</v>
      </c>
      <c r="H66" s="16" t="s">
        <v>51</v>
      </c>
      <c r="I66" s="18" t="s">
        <v>53</v>
      </c>
      <c r="J66" s="16" t="s">
        <v>50</v>
      </c>
      <c r="K66" s="18" t="s">
        <v>53</v>
      </c>
      <c r="L66" s="16" t="s">
        <v>50</v>
      </c>
      <c r="M66" s="16" t="s">
        <v>50</v>
      </c>
      <c r="N66" s="16" t="s">
        <v>50</v>
      </c>
      <c r="O66" s="16" t="s">
        <v>50</v>
      </c>
      <c r="P66" s="16" t="s">
        <v>50</v>
      </c>
      <c r="Q66" s="18" t="s">
        <v>53</v>
      </c>
      <c r="R66" s="16" t="s">
        <v>50</v>
      </c>
      <c r="S66" s="18" t="s">
        <v>53</v>
      </c>
      <c r="T66" s="34" t="s">
        <v>50</v>
      </c>
      <c r="U66" s="18" t="s">
        <v>53</v>
      </c>
      <c r="V66" s="16" t="s">
        <v>50</v>
      </c>
      <c r="W66" s="18" t="s">
        <v>53</v>
      </c>
      <c r="X66" s="16" t="s">
        <v>50</v>
      </c>
      <c r="Y66" s="18" t="s">
        <v>53</v>
      </c>
      <c r="Z66" s="16" t="s">
        <v>50</v>
      </c>
      <c r="AA66" s="18" t="s">
        <v>53</v>
      </c>
      <c r="AB66" s="18" t="s">
        <v>53</v>
      </c>
      <c r="AC66" s="16" t="s">
        <v>50</v>
      </c>
      <c r="AD66" s="16" t="s">
        <v>50</v>
      </c>
      <c r="AE66" s="16" t="s">
        <v>50</v>
      </c>
      <c r="AF66" s="16" t="s">
        <v>50</v>
      </c>
      <c r="AG66" s="18" t="s">
        <v>53</v>
      </c>
      <c r="AH66" s="31" t="s">
        <v>53</v>
      </c>
      <c r="AI66" s="16" t="s">
        <v>50</v>
      </c>
      <c r="AJ66" s="16" t="s">
        <v>50</v>
      </c>
      <c r="AK66" s="16" t="s">
        <v>50</v>
      </c>
      <c r="AL66" s="16" t="s">
        <v>50</v>
      </c>
      <c r="AM66" s="18" t="s">
        <v>53</v>
      </c>
      <c r="AN66" s="18" t="s">
        <v>53</v>
      </c>
      <c r="AO66" s="18" t="s">
        <v>53</v>
      </c>
      <c r="AP66" s="18" t="s">
        <v>53</v>
      </c>
      <c r="AQ66" s="16" t="s">
        <v>50</v>
      </c>
      <c r="AR66" s="5">
        <f t="shared" ref="AR66:AR129" si="8">COUNTIF(B66:AQ66, "ü")</f>
        <v>16</v>
      </c>
      <c r="AS66" s="5">
        <f t="shared" ref="AS66:AS129" si="9">COUNTIF(B66:AQ66, "IFR")</f>
        <v>1</v>
      </c>
      <c r="AT66" s="5">
        <f t="shared" ref="AT66:AT129" si="10">COUNTIF(B66:AQ66, "N/A")</f>
        <v>25</v>
      </c>
      <c r="AU66">
        <f t="shared" ref="AU66:AU129" si="11">COUNTIF(B66:AQ66, "National EBI Guidance")</f>
        <v>0</v>
      </c>
      <c r="AV66">
        <f t="shared" ref="AV66:AV129" si="12">COUNTIF(B66:AQ66, "Policy under review")</f>
        <v>0</v>
      </c>
      <c r="AW66">
        <f t="shared" si="7"/>
        <v>42</v>
      </c>
    </row>
    <row r="67" spans="1:49" x14ac:dyDescent="0.35">
      <c r="A67" s="5" t="s">
        <v>118</v>
      </c>
      <c r="B67" s="16" t="s">
        <v>50</v>
      </c>
      <c r="C67" s="16" t="s">
        <v>50</v>
      </c>
      <c r="D67" s="16" t="s">
        <v>50</v>
      </c>
      <c r="E67" s="16" t="s">
        <v>50</v>
      </c>
      <c r="F67" s="16" t="s">
        <v>50</v>
      </c>
      <c r="G67" s="16" t="s">
        <v>50</v>
      </c>
      <c r="H67" s="16" t="s">
        <v>51</v>
      </c>
      <c r="I67" s="16" t="s">
        <v>51</v>
      </c>
      <c r="J67" s="16" t="s">
        <v>51</v>
      </c>
      <c r="K67" s="16" t="s">
        <v>50</v>
      </c>
      <c r="L67" s="16" t="s">
        <v>50</v>
      </c>
      <c r="M67" s="16" t="s">
        <v>50</v>
      </c>
      <c r="N67" s="16" t="s">
        <v>50</v>
      </c>
      <c r="O67" s="16" t="s">
        <v>50</v>
      </c>
      <c r="P67" s="16" t="s">
        <v>50</v>
      </c>
      <c r="Q67" s="16" t="s">
        <v>50</v>
      </c>
      <c r="R67" s="16" t="s">
        <v>50</v>
      </c>
      <c r="S67" s="16" t="s">
        <v>50</v>
      </c>
      <c r="T67" s="16" t="s">
        <v>50</v>
      </c>
      <c r="U67" s="16" t="s">
        <v>50</v>
      </c>
      <c r="V67" s="16" t="s">
        <v>50</v>
      </c>
      <c r="W67" s="16" t="s">
        <v>50</v>
      </c>
      <c r="X67" s="16" t="s">
        <v>50</v>
      </c>
      <c r="Y67" s="16" t="s">
        <v>50</v>
      </c>
      <c r="Z67" s="16" t="s">
        <v>51</v>
      </c>
      <c r="AA67" s="16" t="s">
        <v>51</v>
      </c>
      <c r="AB67" s="16" t="s">
        <v>50</v>
      </c>
      <c r="AC67" s="16" t="s">
        <v>50</v>
      </c>
      <c r="AD67" s="16" t="s">
        <v>50</v>
      </c>
      <c r="AE67" s="16" t="s">
        <v>50</v>
      </c>
      <c r="AF67" s="16" t="s">
        <v>50</v>
      </c>
      <c r="AG67" s="16" t="s">
        <v>50</v>
      </c>
      <c r="AH67" s="16" t="s">
        <v>50</v>
      </c>
      <c r="AI67" s="16" t="s">
        <v>50</v>
      </c>
      <c r="AJ67" s="16" t="s">
        <v>50</v>
      </c>
      <c r="AK67" s="16" t="s">
        <v>50</v>
      </c>
      <c r="AL67" s="16" t="s">
        <v>50</v>
      </c>
      <c r="AM67" s="16" t="s">
        <v>50</v>
      </c>
      <c r="AN67" s="16" t="s">
        <v>51</v>
      </c>
      <c r="AO67" s="16" t="s">
        <v>50</v>
      </c>
      <c r="AP67" s="16" t="s">
        <v>50</v>
      </c>
      <c r="AQ67" s="16" t="s">
        <v>50</v>
      </c>
      <c r="AR67" s="5">
        <f t="shared" si="8"/>
        <v>0</v>
      </c>
      <c r="AS67" s="5">
        <f t="shared" si="9"/>
        <v>6</v>
      </c>
      <c r="AT67" s="5">
        <f t="shared" si="10"/>
        <v>36</v>
      </c>
      <c r="AU67">
        <f t="shared" si="11"/>
        <v>0</v>
      </c>
      <c r="AV67">
        <f t="shared" si="12"/>
        <v>0</v>
      </c>
      <c r="AW67">
        <f t="shared" si="7"/>
        <v>42</v>
      </c>
    </row>
    <row r="68" spans="1:49" x14ac:dyDescent="0.35">
      <c r="A68" s="5" t="s">
        <v>119</v>
      </c>
      <c r="B68" s="16" t="s">
        <v>50</v>
      </c>
      <c r="C68" s="16" t="s">
        <v>50</v>
      </c>
      <c r="D68" s="16" t="s">
        <v>50</v>
      </c>
      <c r="E68" s="16" t="s">
        <v>50</v>
      </c>
      <c r="F68" s="16" t="s">
        <v>51</v>
      </c>
      <c r="G68" s="16" t="s">
        <v>50</v>
      </c>
      <c r="H68" s="16" t="s">
        <v>50</v>
      </c>
      <c r="I68" s="16" t="s">
        <v>50</v>
      </c>
      <c r="J68" s="16" t="s">
        <v>50</v>
      </c>
      <c r="K68" s="16" t="s">
        <v>50</v>
      </c>
      <c r="L68" s="16" t="s">
        <v>50</v>
      </c>
      <c r="M68" s="16" t="s">
        <v>50</v>
      </c>
      <c r="N68" s="16" t="s">
        <v>50</v>
      </c>
      <c r="O68" s="16" t="s">
        <v>50</v>
      </c>
      <c r="P68" s="16" t="s">
        <v>50</v>
      </c>
      <c r="Q68" s="16" t="s">
        <v>50</v>
      </c>
      <c r="R68" s="26" t="s">
        <v>51</v>
      </c>
      <c r="S68" s="16" t="s">
        <v>50</v>
      </c>
      <c r="T68" s="16" t="s">
        <v>50</v>
      </c>
      <c r="U68" s="16" t="s">
        <v>50</v>
      </c>
      <c r="V68" s="18" t="s">
        <v>53</v>
      </c>
      <c r="W68" s="16" t="s">
        <v>50</v>
      </c>
      <c r="X68" s="16" t="s">
        <v>50</v>
      </c>
      <c r="Y68" s="16" t="s">
        <v>50</v>
      </c>
      <c r="Z68" s="16" t="s">
        <v>50</v>
      </c>
      <c r="AA68" s="16" t="s">
        <v>50</v>
      </c>
      <c r="AB68" s="16" t="s">
        <v>50</v>
      </c>
      <c r="AC68" s="16" t="s">
        <v>50</v>
      </c>
      <c r="AD68" s="18" t="s">
        <v>53</v>
      </c>
      <c r="AE68" s="16" t="s">
        <v>50</v>
      </c>
      <c r="AF68" s="16" t="s">
        <v>50</v>
      </c>
      <c r="AG68" s="16" t="s">
        <v>50</v>
      </c>
      <c r="AH68" s="16" t="s">
        <v>51</v>
      </c>
      <c r="AI68" s="16" t="s">
        <v>50</v>
      </c>
      <c r="AJ68" s="16" t="s">
        <v>50</v>
      </c>
      <c r="AK68" s="16" t="s">
        <v>50</v>
      </c>
      <c r="AL68" s="16" t="s">
        <v>50</v>
      </c>
      <c r="AM68" s="16" t="s">
        <v>50</v>
      </c>
      <c r="AN68" s="16" t="s">
        <v>50</v>
      </c>
      <c r="AO68" s="16" t="s">
        <v>50</v>
      </c>
      <c r="AP68" s="16" t="s">
        <v>50</v>
      </c>
      <c r="AQ68" s="16" t="s">
        <v>50</v>
      </c>
      <c r="AR68" s="5">
        <f t="shared" si="8"/>
        <v>2</v>
      </c>
      <c r="AS68" s="5">
        <f t="shared" si="9"/>
        <v>3</v>
      </c>
      <c r="AT68" s="5">
        <f t="shared" si="10"/>
        <v>37</v>
      </c>
      <c r="AU68">
        <f t="shared" si="11"/>
        <v>0</v>
      </c>
      <c r="AV68">
        <f t="shared" si="12"/>
        <v>0</v>
      </c>
      <c r="AW68">
        <f t="shared" si="7"/>
        <v>42</v>
      </c>
    </row>
    <row r="69" spans="1:49" x14ac:dyDescent="0.35">
      <c r="A69" s="5" t="s">
        <v>120</v>
      </c>
      <c r="B69" s="16" t="s">
        <v>50</v>
      </c>
      <c r="C69" s="18" t="s">
        <v>53</v>
      </c>
      <c r="D69" s="18" t="s">
        <v>53</v>
      </c>
      <c r="E69" s="16" t="s">
        <v>50</v>
      </c>
      <c r="F69" s="16" t="s">
        <v>50</v>
      </c>
      <c r="G69" s="18" t="s">
        <v>53</v>
      </c>
      <c r="H69" s="18" t="s">
        <v>53</v>
      </c>
      <c r="I69" s="16" t="s">
        <v>51</v>
      </c>
      <c r="J69" s="18" t="s">
        <v>53</v>
      </c>
      <c r="K69" s="18" t="s">
        <v>53</v>
      </c>
      <c r="L69" s="18" t="s">
        <v>53</v>
      </c>
      <c r="M69" s="18" t="s">
        <v>53</v>
      </c>
      <c r="N69" s="18" t="s">
        <v>53</v>
      </c>
      <c r="O69" s="27" t="s">
        <v>53</v>
      </c>
      <c r="P69" s="18" t="s">
        <v>53</v>
      </c>
      <c r="Q69" s="18" t="s">
        <v>53</v>
      </c>
      <c r="R69" s="18" t="s">
        <v>53</v>
      </c>
      <c r="S69" s="18" t="s">
        <v>53</v>
      </c>
      <c r="T69" s="16" t="s">
        <v>50</v>
      </c>
      <c r="U69" s="18" t="s">
        <v>53</v>
      </c>
      <c r="V69" s="18" t="s">
        <v>53</v>
      </c>
      <c r="W69" s="18" t="s">
        <v>53</v>
      </c>
      <c r="X69" s="16" t="s">
        <v>50</v>
      </c>
      <c r="Y69" s="16" t="s">
        <v>50</v>
      </c>
      <c r="Z69" s="34" t="s">
        <v>51</v>
      </c>
      <c r="AA69" s="16" t="s">
        <v>51</v>
      </c>
      <c r="AB69" s="18" t="s">
        <v>53</v>
      </c>
      <c r="AC69" s="16" t="s">
        <v>50</v>
      </c>
      <c r="AD69" s="25" t="s">
        <v>53</v>
      </c>
      <c r="AE69" s="18" t="s">
        <v>53</v>
      </c>
      <c r="AF69" s="18" t="s">
        <v>53</v>
      </c>
      <c r="AG69" s="18" t="s">
        <v>53</v>
      </c>
      <c r="AH69" s="16" t="s">
        <v>50</v>
      </c>
      <c r="AI69" s="16" t="s">
        <v>50</v>
      </c>
      <c r="AJ69" s="18" t="s">
        <v>53</v>
      </c>
      <c r="AK69" s="16" t="s">
        <v>50</v>
      </c>
      <c r="AL69" s="16" t="s">
        <v>50</v>
      </c>
      <c r="AM69" s="18" t="s">
        <v>53</v>
      </c>
      <c r="AN69" s="16" t="s">
        <v>51</v>
      </c>
      <c r="AO69" s="16" t="s">
        <v>51</v>
      </c>
      <c r="AP69" s="16" t="s">
        <v>51</v>
      </c>
      <c r="AQ69" s="18" t="s">
        <v>53</v>
      </c>
      <c r="AR69" s="5">
        <f t="shared" si="8"/>
        <v>25</v>
      </c>
      <c r="AS69" s="5">
        <f t="shared" si="9"/>
        <v>6</v>
      </c>
      <c r="AT69" s="5">
        <f t="shared" si="10"/>
        <v>11</v>
      </c>
      <c r="AU69">
        <f t="shared" si="11"/>
        <v>0</v>
      </c>
      <c r="AV69">
        <f t="shared" si="12"/>
        <v>0</v>
      </c>
      <c r="AW69">
        <f t="shared" si="7"/>
        <v>42</v>
      </c>
    </row>
    <row r="70" spans="1:49" x14ac:dyDescent="0.35">
      <c r="A70" s="5" t="s">
        <v>121</v>
      </c>
      <c r="B70" s="18" t="s">
        <v>53</v>
      </c>
      <c r="C70" s="18" t="s">
        <v>53</v>
      </c>
      <c r="D70" s="18" t="s">
        <v>53</v>
      </c>
      <c r="E70" s="31" t="s">
        <v>53</v>
      </c>
      <c r="F70" s="18" t="s">
        <v>53</v>
      </c>
      <c r="G70" s="18" t="s">
        <v>53</v>
      </c>
      <c r="H70" s="18" t="s">
        <v>53</v>
      </c>
      <c r="I70" s="18" t="s">
        <v>53</v>
      </c>
      <c r="J70" s="18" t="s">
        <v>53</v>
      </c>
      <c r="K70" s="18" t="s">
        <v>53</v>
      </c>
      <c r="L70" s="18" t="s">
        <v>53</v>
      </c>
      <c r="M70" s="18" t="s">
        <v>53</v>
      </c>
      <c r="N70" s="18" t="s">
        <v>53</v>
      </c>
      <c r="O70" s="18" t="s">
        <v>53</v>
      </c>
      <c r="P70" s="18" t="s">
        <v>53</v>
      </c>
      <c r="Q70" s="18" t="s">
        <v>53</v>
      </c>
      <c r="R70" s="18" t="s">
        <v>53</v>
      </c>
      <c r="S70" s="18" t="s">
        <v>53</v>
      </c>
      <c r="T70" s="18" t="s">
        <v>53</v>
      </c>
      <c r="U70" s="16" t="s">
        <v>63</v>
      </c>
      <c r="V70" s="18" t="s">
        <v>53</v>
      </c>
      <c r="W70" s="18" t="s">
        <v>53</v>
      </c>
      <c r="X70" s="18" t="s">
        <v>53</v>
      </c>
      <c r="Y70" s="18" t="s">
        <v>53</v>
      </c>
      <c r="Z70" s="18" t="s">
        <v>53</v>
      </c>
      <c r="AA70" s="18" t="s">
        <v>53</v>
      </c>
      <c r="AB70" s="18" t="s">
        <v>53</v>
      </c>
      <c r="AC70" s="18" t="s">
        <v>53</v>
      </c>
      <c r="AD70" s="25" t="s">
        <v>53</v>
      </c>
      <c r="AE70" s="18" t="s">
        <v>53</v>
      </c>
      <c r="AF70" s="18" t="s">
        <v>53</v>
      </c>
      <c r="AG70" s="18" t="s">
        <v>53</v>
      </c>
      <c r="AH70" s="18" t="s">
        <v>53</v>
      </c>
      <c r="AI70" s="18" t="s">
        <v>53</v>
      </c>
      <c r="AJ70" s="18" t="s">
        <v>53</v>
      </c>
      <c r="AK70" s="18" t="s">
        <v>53</v>
      </c>
      <c r="AL70" s="18" t="s">
        <v>53</v>
      </c>
      <c r="AM70" s="18" t="s">
        <v>53</v>
      </c>
      <c r="AN70" s="18" t="s">
        <v>53</v>
      </c>
      <c r="AO70" s="18" t="s">
        <v>53</v>
      </c>
      <c r="AP70" s="18" t="s">
        <v>53</v>
      </c>
      <c r="AQ70" s="18" t="s">
        <v>53</v>
      </c>
      <c r="AR70" s="5">
        <f t="shared" si="8"/>
        <v>41</v>
      </c>
      <c r="AS70" s="5">
        <f t="shared" si="9"/>
        <v>0</v>
      </c>
      <c r="AT70" s="5">
        <f t="shared" si="10"/>
        <v>0</v>
      </c>
      <c r="AU70">
        <f t="shared" si="11"/>
        <v>1</v>
      </c>
      <c r="AV70">
        <f t="shared" si="12"/>
        <v>0</v>
      </c>
      <c r="AW70">
        <f t="shared" si="7"/>
        <v>42</v>
      </c>
    </row>
    <row r="71" spans="1:49" x14ac:dyDescent="0.35">
      <c r="A71" s="7" t="s">
        <v>122</v>
      </c>
      <c r="B71" s="16" t="s">
        <v>51</v>
      </c>
      <c r="C71" s="28" t="s">
        <v>51</v>
      </c>
      <c r="D71" s="16" t="s">
        <v>51</v>
      </c>
      <c r="E71" s="18" t="s">
        <v>53</v>
      </c>
      <c r="F71" s="27" t="s">
        <v>53</v>
      </c>
      <c r="G71" s="18" t="s">
        <v>53</v>
      </c>
      <c r="H71" s="16" t="s">
        <v>51</v>
      </c>
      <c r="I71" s="16" t="s">
        <v>50</v>
      </c>
      <c r="J71" s="26" t="s">
        <v>51</v>
      </c>
      <c r="K71" s="16" t="s">
        <v>51</v>
      </c>
      <c r="L71" s="16" t="s">
        <v>51</v>
      </c>
      <c r="M71" s="16" t="s">
        <v>51</v>
      </c>
      <c r="N71" s="18" t="s">
        <v>53</v>
      </c>
      <c r="O71" s="16" t="s">
        <v>51</v>
      </c>
      <c r="P71" s="16" t="s">
        <v>51</v>
      </c>
      <c r="Q71" s="16" t="s">
        <v>51</v>
      </c>
      <c r="R71" s="18" t="s">
        <v>53</v>
      </c>
      <c r="S71" s="16" t="s">
        <v>51</v>
      </c>
      <c r="T71" s="18" t="s">
        <v>53</v>
      </c>
      <c r="U71" s="16" t="s">
        <v>51</v>
      </c>
      <c r="V71" s="18" t="s">
        <v>53</v>
      </c>
      <c r="W71" s="16" t="s">
        <v>51</v>
      </c>
      <c r="X71" s="16" t="s">
        <v>51</v>
      </c>
      <c r="Y71" s="16" t="s">
        <v>51</v>
      </c>
      <c r="Z71" s="16" t="s">
        <v>51</v>
      </c>
      <c r="AA71" s="16" t="s">
        <v>51</v>
      </c>
      <c r="AB71" s="18" t="s">
        <v>53</v>
      </c>
      <c r="AC71" s="18" t="s">
        <v>53</v>
      </c>
      <c r="AD71" s="25" t="s">
        <v>53</v>
      </c>
      <c r="AE71" s="18" t="s">
        <v>53</v>
      </c>
      <c r="AF71" s="27" t="s">
        <v>53</v>
      </c>
      <c r="AG71" s="34" t="s">
        <v>51</v>
      </c>
      <c r="AH71" s="16" t="s">
        <v>51</v>
      </c>
      <c r="AI71" s="16" t="s">
        <v>51</v>
      </c>
      <c r="AJ71" s="16" t="s">
        <v>51</v>
      </c>
      <c r="AK71" s="18" t="s">
        <v>53</v>
      </c>
      <c r="AL71" s="28" t="s">
        <v>51</v>
      </c>
      <c r="AM71" s="16" t="s">
        <v>51</v>
      </c>
      <c r="AN71" s="34" t="s">
        <v>50</v>
      </c>
      <c r="AO71" s="16" t="s">
        <v>51</v>
      </c>
      <c r="AP71" s="16" t="s">
        <v>51</v>
      </c>
      <c r="AQ71" s="16" t="s">
        <v>51</v>
      </c>
      <c r="AR71" s="5">
        <f t="shared" si="8"/>
        <v>13</v>
      </c>
      <c r="AS71" s="5">
        <f t="shared" si="9"/>
        <v>27</v>
      </c>
      <c r="AT71" s="5">
        <f t="shared" si="10"/>
        <v>2</v>
      </c>
      <c r="AU71">
        <f t="shared" si="11"/>
        <v>0</v>
      </c>
      <c r="AV71">
        <f t="shared" si="12"/>
        <v>0</v>
      </c>
      <c r="AW71">
        <f t="shared" si="7"/>
        <v>42</v>
      </c>
    </row>
    <row r="72" spans="1:49" x14ac:dyDescent="0.35">
      <c r="A72" s="5" t="s">
        <v>123</v>
      </c>
      <c r="B72" s="16" t="s">
        <v>51</v>
      </c>
      <c r="C72" s="16" t="s">
        <v>51</v>
      </c>
      <c r="D72" s="16" t="s">
        <v>51</v>
      </c>
      <c r="E72" s="16" t="s">
        <v>51</v>
      </c>
      <c r="F72" s="16" t="s">
        <v>51</v>
      </c>
      <c r="G72" s="16" t="s">
        <v>51</v>
      </c>
      <c r="H72" s="16" t="s">
        <v>51</v>
      </c>
      <c r="I72" s="16" t="s">
        <v>50</v>
      </c>
      <c r="J72" s="26" t="s">
        <v>51</v>
      </c>
      <c r="K72" s="16" t="s">
        <v>51</v>
      </c>
      <c r="L72" s="16" t="s">
        <v>51</v>
      </c>
      <c r="M72" s="16" t="s">
        <v>51</v>
      </c>
      <c r="N72" s="18" t="s">
        <v>53</v>
      </c>
      <c r="O72" s="16" t="s">
        <v>51</v>
      </c>
      <c r="P72" s="16" t="s">
        <v>51</v>
      </c>
      <c r="Q72" s="16" t="s">
        <v>51</v>
      </c>
      <c r="R72" s="16" t="s">
        <v>51</v>
      </c>
      <c r="S72" s="16" t="s">
        <v>51</v>
      </c>
      <c r="T72" s="16" t="s">
        <v>51</v>
      </c>
      <c r="U72" s="16" t="s">
        <v>51</v>
      </c>
      <c r="V72" s="16" t="s">
        <v>51</v>
      </c>
      <c r="W72" s="16" t="s">
        <v>51</v>
      </c>
      <c r="X72" s="27" t="s">
        <v>53</v>
      </c>
      <c r="Y72" s="16" t="s">
        <v>51</v>
      </c>
      <c r="Z72" s="26" t="s">
        <v>50</v>
      </c>
      <c r="AA72" s="16" t="s">
        <v>51</v>
      </c>
      <c r="AB72" s="16" t="s">
        <v>51</v>
      </c>
      <c r="AC72" s="16" t="s">
        <v>51</v>
      </c>
      <c r="AD72" s="21" t="s">
        <v>51</v>
      </c>
      <c r="AE72" s="16" t="s">
        <v>51</v>
      </c>
      <c r="AF72" s="16" t="s">
        <v>51</v>
      </c>
      <c r="AG72" s="16" t="s">
        <v>50</v>
      </c>
      <c r="AH72" s="16" t="s">
        <v>51</v>
      </c>
      <c r="AI72" s="16" t="s">
        <v>51</v>
      </c>
      <c r="AJ72" s="16" t="s">
        <v>50</v>
      </c>
      <c r="AK72" s="16" t="s">
        <v>51</v>
      </c>
      <c r="AL72" s="28" t="s">
        <v>51</v>
      </c>
      <c r="AM72" s="16" t="s">
        <v>51</v>
      </c>
      <c r="AN72" s="26" t="s">
        <v>50</v>
      </c>
      <c r="AO72" s="16" t="s">
        <v>51</v>
      </c>
      <c r="AP72" s="16" t="s">
        <v>51</v>
      </c>
      <c r="AQ72" s="27" t="s">
        <v>53</v>
      </c>
      <c r="AR72" s="5">
        <f t="shared" si="8"/>
        <v>3</v>
      </c>
      <c r="AS72" s="5">
        <f t="shared" si="9"/>
        <v>34</v>
      </c>
      <c r="AT72" s="5">
        <f t="shared" si="10"/>
        <v>5</v>
      </c>
      <c r="AU72">
        <f t="shared" si="11"/>
        <v>0</v>
      </c>
      <c r="AV72">
        <f t="shared" si="12"/>
        <v>0</v>
      </c>
      <c r="AW72">
        <f t="shared" si="7"/>
        <v>42</v>
      </c>
    </row>
    <row r="73" spans="1:49" x14ac:dyDescent="0.35">
      <c r="A73" s="5" t="s">
        <v>124</v>
      </c>
      <c r="B73" s="16" t="s">
        <v>50</v>
      </c>
      <c r="C73" s="16" t="s">
        <v>50</v>
      </c>
      <c r="D73" s="16" t="s">
        <v>50</v>
      </c>
      <c r="E73" s="16" t="s">
        <v>50</v>
      </c>
      <c r="F73" s="31" t="s">
        <v>53</v>
      </c>
      <c r="G73" s="16" t="s">
        <v>50</v>
      </c>
      <c r="H73" s="31" t="s">
        <v>53</v>
      </c>
      <c r="I73" s="16" t="s">
        <v>50</v>
      </c>
      <c r="J73" s="16" t="s">
        <v>50</v>
      </c>
      <c r="K73" s="18" t="s">
        <v>53</v>
      </c>
      <c r="L73" s="16" t="s">
        <v>50</v>
      </c>
      <c r="M73" s="16" t="s">
        <v>50</v>
      </c>
      <c r="N73" s="16" t="s">
        <v>50</v>
      </c>
      <c r="O73" s="16" t="s">
        <v>51</v>
      </c>
      <c r="P73" s="16" t="s">
        <v>50</v>
      </c>
      <c r="Q73" s="16" t="s">
        <v>50</v>
      </c>
      <c r="R73" s="18" t="s">
        <v>53</v>
      </c>
      <c r="S73" s="16" t="s">
        <v>50</v>
      </c>
      <c r="T73" s="18" t="s">
        <v>53</v>
      </c>
      <c r="U73" s="27" t="s">
        <v>53</v>
      </c>
      <c r="V73" s="18" t="s">
        <v>53</v>
      </c>
      <c r="W73" s="27" t="s">
        <v>53</v>
      </c>
      <c r="X73" s="18" t="s">
        <v>53</v>
      </c>
      <c r="Y73" s="16" t="s">
        <v>50</v>
      </c>
      <c r="Z73" s="26" t="s">
        <v>50</v>
      </c>
      <c r="AA73" s="27" t="s">
        <v>53</v>
      </c>
      <c r="AB73" s="27" t="s">
        <v>53</v>
      </c>
      <c r="AC73" s="16" t="s">
        <v>50</v>
      </c>
      <c r="AD73" s="25" t="s">
        <v>53</v>
      </c>
      <c r="AE73" s="16" t="s">
        <v>50</v>
      </c>
      <c r="AF73" s="16" t="s">
        <v>50</v>
      </c>
      <c r="AG73" s="16" t="s">
        <v>50</v>
      </c>
      <c r="AH73" s="16" t="s">
        <v>50</v>
      </c>
      <c r="AI73" s="16" t="s">
        <v>50</v>
      </c>
      <c r="AJ73" s="18" t="s">
        <v>53</v>
      </c>
      <c r="AK73" s="16" t="s">
        <v>50</v>
      </c>
      <c r="AL73" s="27" t="s">
        <v>53</v>
      </c>
      <c r="AM73" s="16" t="s">
        <v>51</v>
      </c>
      <c r="AN73" s="16" t="s">
        <v>50</v>
      </c>
      <c r="AO73" s="18" t="s">
        <v>53</v>
      </c>
      <c r="AP73" s="18" t="s">
        <v>53</v>
      </c>
      <c r="AQ73" s="18" t="s">
        <v>53</v>
      </c>
      <c r="AR73" s="5">
        <f t="shared" si="8"/>
        <v>17</v>
      </c>
      <c r="AS73" s="5">
        <f t="shared" si="9"/>
        <v>2</v>
      </c>
      <c r="AT73" s="5">
        <f t="shared" si="10"/>
        <v>23</v>
      </c>
      <c r="AU73">
        <f t="shared" si="11"/>
        <v>0</v>
      </c>
      <c r="AV73">
        <f t="shared" si="12"/>
        <v>0</v>
      </c>
      <c r="AW73">
        <f t="shared" si="7"/>
        <v>42</v>
      </c>
    </row>
    <row r="74" spans="1:49" x14ac:dyDescent="0.35">
      <c r="A74" s="5" t="s">
        <v>125</v>
      </c>
      <c r="B74" s="16" t="s">
        <v>50</v>
      </c>
      <c r="C74" s="16" t="s">
        <v>50</v>
      </c>
      <c r="D74" s="16" t="s">
        <v>51</v>
      </c>
      <c r="E74" s="16" t="s">
        <v>51</v>
      </c>
      <c r="F74" s="16" t="s">
        <v>51</v>
      </c>
      <c r="G74" s="16" t="s">
        <v>50</v>
      </c>
      <c r="H74" s="16" t="s">
        <v>50</v>
      </c>
      <c r="I74" s="16" t="s">
        <v>50</v>
      </c>
      <c r="J74" s="16" t="s">
        <v>51</v>
      </c>
      <c r="K74" s="28" t="s">
        <v>51</v>
      </c>
      <c r="L74" s="16" t="s">
        <v>50</v>
      </c>
      <c r="M74" s="26" t="s">
        <v>51</v>
      </c>
      <c r="N74" s="16" t="s">
        <v>50</v>
      </c>
      <c r="O74" s="16" t="s">
        <v>51</v>
      </c>
      <c r="P74" s="16" t="s">
        <v>50</v>
      </c>
      <c r="Q74" s="16" t="s">
        <v>50</v>
      </c>
      <c r="R74" s="16" t="s">
        <v>50</v>
      </c>
      <c r="S74" s="16" t="s">
        <v>50</v>
      </c>
      <c r="T74" s="26" t="s">
        <v>51</v>
      </c>
      <c r="U74" s="16" t="s">
        <v>50</v>
      </c>
      <c r="V74" s="16" t="s">
        <v>50</v>
      </c>
      <c r="W74" s="16" t="s">
        <v>51</v>
      </c>
      <c r="X74" s="16" t="s">
        <v>50</v>
      </c>
      <c r="Y74" s="16" t="s">
        <v>50</v>
      </c>
      <c r="Z74" s="16" t="s">
        <v>51</v>
      </c>
      <c r="AA74" s="16" t="s">
        <v>51</v>
      </c>
      <c r="AB74" s="16" t="s">
        <v>50</v>
      </c>
      <c r="AC74" s="16" t="s">
        <v>51</v>
      </c>
      <c r="AD74" s="16" t="s">
        <v>51</v>
      </c>
      <c r="AE74" s="16" t="s">
        <v>51</v>
      </c>
      <c r="AF74" s="16" t="s">
        <v>50</v>
      </c>
      <c r="AG74" s="16" t="s">
        <v>50</v>
      </c>
      <c r="AH74" s="16" t="s">
        <v>51</v>
      </c>
      <c r="AI74" s="16" t="s">
        <v>51</v>
      </c>
      <c r="AJ74" s="16" t="s">
        <v>50</v>
      </c>
      <c r="AK74" s="16" t="s">
        <v>50</v>
      </c>
      <c r="AL74" s="16" t="s">
        <v>51</v>
      </c>
      <c r="AM74" s="26" t="s">
        <v>51</v>
      </c>
      <c r="AN74" s="16" t="s">
        <v>50</v>
      </c>
      <c r="AO74" s="16" t="s">
        <v>50</v>
      </c>
      <c r="AP74" s="16" t="s">
        <v>50</v>
      </c>
      <c r="AQ74" s="16" t="s">
        <v>50</v>
      </c>
      <c r="AR74" s="5">
        <f t="shared" si="8"/>
        <v>0</v>
      </c>
      <c r="AS74" s="5">
        <f t="shared" si="9"/>
        <v>18</v>
      </c>
      <c r="AT74" s="5">
        <f t="shared" si="10"/>
        <v>24</v>
      </c>
      <c r="AU74">
        <f t="shared" si="11"/>
        <v>0</v>
      </c>
      <c r="AV74">
        <f t="shared" si="12"/>
        <v>0</v>
      </c>
      <c r="AW74">
        <f t="shared" si="7"/>
        <v>42</v>
      </c>
    </row>
    <row r="75" spans="1:49" x14ac:dyDescent="0.35">
      <c r="A75" s="5" t="s">
        <v>126</v>
      </c>
      <c r="B75" s="18" t="s">
        <v>53</v>
      </c>
      <c r="C75" s="18" t="s">
        <v>53</v>
      </c>
      <c r="D75" s="18" t="s">
        <v>53</v>
      </c>
      <c r="E75" s="18" t="s">
        <v>53</v>
      </c>
      <c r="F75" s="18" t="s">
        <v>53</v>
      </c>
      <c r="G75" s="18" t="s">
        <v>53</v>
      </c>
      <c r="H75" s="18" t="s">
        <v>53</v>
      </c>
      <c r="I75" s="18" t="s">
        <v>53</v>
      </c>
      <c r="J75" s="26" t="s">
        <v>51</v>
      </c>
      <c r="K75" s="18" t="s">
        <v>53</v>
      </c>
      <c r="L75" s="18" t="s">
        <v>53</v>
      </c>
      <c r="M75" s="18" t="s">
        <v>53</v>
      </c>
      <c r="N75" s="18" t="s">
        <v>53</v>
      </c>
      <c r="O75" s="18" t="s">
        <v>53</v>
      </c>
      <c r="P75" s="18" t="s">
        <v>53</v>
      </c>
      <c r="Q75" s="18" t="s">
        <v>53</v>
      </c>
      <c r="R75" s="18" t="s">
        <v>53</v>
      </c>
      <c r="S75" s="27" t="s">
        <v>53</v>
      </c>
      <c r="T75" s="18" t="s">
        <v>53</v>
      </c>
      <c r="U75" s="16" t="s">
        <v>50</v>
      </c>
      <c r="V75" s="27" t="s">
        <v>53</v>
      </c>
      <c r="W75" s="18" t="s">
        <v>53</v>
      </c>
      <c r="X75" s="18" t="s">
        <v>53</v>
      </c>
      <c r="Y75" s="18" t="s">
        <v>53</v>
      </c>
      <c r="Z75" s="27" t="s">
        <v>53</v>
      </c>
      <c r="AA75" s="18" t="s">
        <v>53</v>
      </c>
      <c r="AB75" s="18" t="s">
        <v>53</v>
      </c>
      <c r="AC75" s="18" t="s">
        <v>53</v>
      </c>
      <c r="AD75" s="25" t="s">
        <v>53</v>
      </c>
      <c r="AE75" s="18" t="s">
        <v>53</v>
      </c>
      <c r="AF75" s="18" t="s">
        <v>53</v>
      </c>
      <c r="AG75" s="16" t="s">
        <v>50</v>
      </c>
      <c r="AH75" s="18" t="s">
        <v>53</v>
      </c>
      <c r="AI75" s="18" t="s">
        <v>53</v>
      </c>
      <c r="AJ75" s="18" t="s">
        <v>53</v>
      </c>
      <c r="AK75" s="16" t="s">
        <v>50</v>
      </c>
      <c r="AL75" s="18" t="s">
        <v>53</v>
      </c>
      <c r="AM75" s="18" t="s">
        <v>53</v>
      </c>
      <c r="AN75" s="18" t="s">
        <v>53</v>
      </c>
      <c r="AO75" s="18" t="s">
        <v>53</v>
      </c>
      <c r="AP75" s="18" t="s">
        <v>53</v>
      </c>
      <c r="AQ75" s="18" t="s">
        <v>53</v>
      </c>
      <c r="AR75" s="5">
        <f t="shared" si="8"/>
        <v>38</v>
      </c>
      <c r="AS75" s="5">
        <f t="shared" si="9"/>
        <v>1</v>
      </c>
      <c r="AT75" s="5">
        <f t="shared" si="10"/>
        <v>3</v>
      </c>
      <c r="AU75">
        <f t="shared" si="11"/>
        <v>0</v>
      </c>
      <c r="AV75">
        <f t="shared" si="12"/>
        <v>0</v>
      </c>
      <c r="AW75">
        <f t="shared" si="7"/>
        <v>42</v>
      </c>
    </row>
    <row r="76" spans="1:49" x14ac:dyDescent="0.35">
      <c r="A76" s="5" t="s">
        <v>127</v>
      </c>
      <c r="B76" s="16" t="s">
        <v>50</v>
      </c>
      <c r="C76" s="16" t="s">
        <v>50</v>
      </c>
      <c r="D76" s="16" t="s">
        <v>50</v>
      </c>
      <c r="E76" s="27" t="s">
        <v>53</v>
      </c>
      <c r="F76" s="27" t="s">
        <v>53</v>
      </c>
      <c r="G76" s="16" t="s">
        <v>50</v>
      </c>
      <c r="H76" s="16" t="s">
        <v>50</v>
      </c>
      <c r="I76" s="16" t="s">
        <v>50</v>
      </c>
      <c r="J76" s="16" t="s">
        <v>50</v>
      </c>
      <c r="K76" s="16" t="s">
        <v>50</v>
      </c>
      <c r="L76" s="16" t="s">
        <v>50</v>
      </c>
      <c r="M76" s="16" t="s">
        <v>50</v>
      </c>
      <c r="N76" s="16" t="s">
        <v>50</v>
      </c>
      <c r="O76" s="27" t="s">
        <v>53</v>
      </c>
      <c r="P76" s="16" t="s">
        <v>50</v>
      </c>
      <c r="Q76" s="16" t="s">
        <v>50</v>
      </c>
      <c r="R76" s="27" t="s">
        <v>53</v>
      </c>
      <c r="S76" s="16" t="s">
        <v>50</v>
      </c>
      <c r="T76" s="26" t="s">
        <v>51</v>
      </c>
      <c r="U76" s="27" t="s">
        <v>53</v>
      </c>
      <c r="V76" s="16" t="s">
        <v>50</v>
      </c>
      <c r="W76" s="26" t="s">
        <v>53</v>
      </c>
      <c r="X76" s="16" t="s">
        <v>50</v>
      </c>
      <c r="Y76" s="16" t="s">
        <v>50</v>
      </c>
      <c r="Z76" s="27" t="s">
        <v>53</v>
      </c>
      <c r="AA76" s="16" t="s">
        <v>50</v>
      </c>
      <c r="AB76" s="16" t="s">
        <v>50</v>
      </c>
      <c r="AC76" s="18" t="s">
        <v>53</v>
      </c>
      <c r="AD76" s="18" t="s">
        <v>53</v>
      </c>
      <c r="AE76" s="18" t="s">
        <v>53</v>
      </c>
      <c r="AF76" s="16" t="s">
        <v>50</v>
      </c>
      <c r="AG76" s="16" t="s">
        <v>50</v>
      </c>
      <c r="AH76" s="18" t="s">
        <v>53</v>
      </c>
      <c r="AI76" s="27" t="s">
        <v>53</v>
      </c>
      <c r="AJ76" s="16" t="s">
        <v>50</v>
      </c>
      <c r="AK76" s="16" t="s">
        <v>50</v>
      </c>
      <c r="AL76" s="18" t="s">
        <v>53</v>
      </c>
      <c r="AM76" s="16" t="s">
        <v>50</v>
      </c>
      <c r="AN76" s="16" t="s">
        <v>50</v>
      </c>
      <c r="AO76" s="16" t="s">
        <v>50</v>
      </c>
      <c r="AP76" s="16" t="s">
        <v>50</v>
      </c>
      <c r="AQ76" s="16" t="s">
        <v>50</v>
      </c>
      <c r="AR76" s="5">
        <f t="shared" si="8"/>
        <v>13</v>
      </c>
      <c r="AS76" s="5">
        <f t="shared" si="9"/>
        <v>1</v>
      </c>
      <c r="AT76" s="5">
        <f t="shared" si="10"/>
        <v>28</v>
      </c>
      <c r="AU76">
        <f t="shared" si="11"/>
        <v>0</v>
      </c>
      <c r="AV76">
        <f t="shared" si="12"/>
        <v>0</v>
      </c>
      <c r="AW76">
        <f t="shared" si="7"/>
        <v>42</v>
      </c>
    </row>
    <row r="77" spans="1:49" x14ac:dyDescent="0.35">
      <c r="A77" s="5" t="s">
        <v>128</v>
      </c>
      <c r="B77" s="18" t="s">
        <v>53</v>
      </c>
      <c r="C77" s="18" t="s">
        <v>53</v>
      </c>
      <c r="D77" s="18" t="s">
        <v>53</v>
      </c>
      <c r="E77" s="18" t="s">
        <v>53</v>
      </c>
      <c r="F77" s="35" t="s">
        <v>50</v>
      </c>
      <c r="G77" s="18" t="s">
        <v>53</v>
      </c>
      <c r="H77" s="18" t="s">
        <v>53</v>
      </c>
      <c r="I77" s="18" t="s">
        <v>53</v>
      </c>
      <c r="J77" s="18" t="s">
        <v>53</v>
      </c>
      <c r="K77" s="16" t="s">
        <v>50</v>
      </c>
      <c r="L77" s="18" t="s">
        <v>53</v>
      </c>
      <c r="M77" s="18" t="s">
        <v>53</v>
      </c>
      <c r="N77" s="18" t="s">
        <v>53</v>
      </c>
      <c r="O77" s="18" t="s">
        <v>53</v>
      </c>
      <c r="P77" s="18" t="s">
        <v>53</v>
      </c>
      <c r="Q77" s="18" t="s">
        <v>53</v>
      </c>
      <c r="R77" s="18" t="s">
        <v>53</v>
      </c>
      <c r="S77" s="18" t="s">
        <v>53</v>
      </c>
      <c r="T77" s="18" t="s">
        <v>53</v>
      </c>
      <c r="U77" s="18" t="s">
        <v>53</v>
      </c>
      <c r="V77" s="27" t="s">
        <v>53</v>
      </c>
      <c r="W77" s="18" t="s">
        <v>53</v>
      </c>
      <c r="X77" s="16" t="s">
        <v>50</v>
      </c>
      <c r="Y77" s="18" t="s">
        <v>53</v>
      </c>
      <c r="Z77" s="18" t="s">
        <v>53</v>
      </c>
      <c r="AA77" s="18" t="s">
        <v>53</v>
      </c>
      <c r="AB77" s="18" t="s">
        <v>53</v>
      </c>
      <c r="AC77" s="18" t="s">
        <v>53</v>
      </c>
      <c r="AD77" s="25" t="s">
        <v>53</v>
      </c>
      <c r="AE77" s="16" t="s">
        <v>50</v>
      </c>
      <c r="AF77" s="18" t="s">
        <v>53</v>
      </c>
      <c r="AG77" s="18" t="s">
        <v>53</v>
      </c>
      <c r="AH77" s="18" t="s">
        <v>53</v>
      </c>
      <c r="AI77" s="18" t="s">
        <v>53</v>
      </c>
      <c r="AJ77" s="18" t="s">
        <v>53</v>
      </c>
      <c r="AK77" s="18" t="s">
        <v>53</v>
      </c>
      <c r="AL77" s="18" t="s">
        <v>53</v>
      </c>
      <c r="AM77" s="18" t="s">
        <v>53</v>
      </c>
      <c r="AN77" s="18" t="s">
        <v>53</v>
      </c>
      <c r="AO77" s="18" t="s">
        <v>53</v>
      </c>
      <c r="AP77" s="18" t="s">
        <v>53</v>
      </c>
      <c r="AQ77" s="18" t="s">
        <v>53</v>
      </c>
      <c r="AR77" s="5">
        <f t="shared" si="8"/>
        <v>38</v>
      </c>
      <c r="AS77" s="5">
        <f t="shared" si="9"/>
        <v>0</v>
      </c>
      <c r="AT77" s="5">
        <f t="shared" si="10"/>
        <v>4</v>
      </c>
      <c r="AU77">
        <f t="shared" si="11"/>
        <v>0</v>
      </c>
      <c r="AV77">
        <f t="shared" si="12"/>
        <v>0</v>
      </c>
      <c r="AW77">
        <f t="shared" si="7"/>
        <v>42</v>
      </c>
    </row>
    <row r="78" spans="1:49" x14ac:dyDescent="0.35">
      <c r="A78" s="5" t="s">
        <v>129</v>
      </c>
      <c r="B78" s="16" t="s">
        <v>50</v>
      </c>
      <c r="C78" s="16" t="s">
        <v>50</v>
      </c>
      <c r="D78" s="18" t="s">
        <v>53</v>
      </c>
      <c r="E78" s="16" t="s">
        <v>50</v>
      </c>
      <c r="F78" s="16" t="s">
        <v>50</v>
      </c>
      <c r="G78" s="16" t="s">
        <v>50</v>
      </c>
      <c r="H78" s="16" t="s">
        <v>50</v>
      </c>
      <c r="I78" s="16" t="s">
        <v>50</v>
      </c>
      <c r="J78" s="16" t="s">
        <v>50</v>
      </c>
      <c r="K78" s="16" t="s">
        <v>50</v>
      </c>
      <c r="L78" s="16" t="s">
        <v>50</v>
      </c>
      <c r="M78" s="16" t="s">
        <v>50</v>
      </c>
      <c r="N78" s="16" t="s">
        <v>50</v>
      </c>
      <c r="O78" s="16" t="s">
        <v>50</v>
      </c>
      <c r="P78" s="16" t="s">
        <v>50</v>
      </c>
      <c r="Q78" s="16" t="s">
        <v>50</v>
      </c>
      <c r="R78" s="16" t="s">
        <v>50</v>
      </c>
      <c r="S78" s="16" t="s">
        <v>50</v>
      </c>
      <c r="T78" s="16" t="s">
        <v>50</v>
      </c>
      <c r="U78" s="27" t="s">
        <v>53</v>
      </c>
      <c r="V78" s="16" t="s">
        <v>50</v>
      </c>
      <c r="W78" s="16" t="s">
        <v>50</v>
      </c>
      <c r="X78" s="16" t="s">
        <v>50</v>
      </c>
      <c r="Y78" s="16" t="s">
        <v>50</v>
      </c>
      <c r="Z78" s="16" t="s">
        <v>50</v>
      </c>
      <c r="AA78" s="16" t="s">
        <v>50</v>
      </c>
      <c r="AB78" s="16" t="s">
        <v>50</v>
      </c>
      <c r="AC78" s="16" t="s">
        <v>50</v>
      </c>
      <c r="AD78" s="16" t="s">
        <v>50</v>
      </c>
      <c r="AE78" s="16" t="s">
        <v>50</v>
      </c>
      <c r="AF78" s="16" t="s">
        <v>50</v>
      </c>
      <c r="AG78" s="16" t="s">
        <v>50</v>
      </c>
      <c r="AH78" s="16" t="s">
        <v>50</v>
      </c>
      <c r="AI78" s="16" t="s">
        <v>50</v>
      </c>
      <c r="AJ78" s="16" t="s">
        <v>50</v>
      </c>
      <c r="AK78" s="16" t="s">
        <v>50</v>
      </c>
      <c r="AL78" s="16" t="s">
        <v>50</v>
      </c>
      <c r="AM78" s="16" t="s">
        <v>50</v>
      </c>
      <c r="AN78" s="16" t="s">
        <v>50</v>
      </c>
      <c r="AO78" s="16" t="s">
        <v>50</v>
      </c>
      <c r="AP78" s="16" t="s">
        <v>50</v>
      </c>
      <c r="AQ78" s="16" t="s">
        <v>50</v>
      </c>
      <c r="AR78" s="5">
        <f t="shared" si="8"/>
        <v>2</v>
      </c>
      <c r="AS78" s="5">
        <f t="shared" si="9"/>
        <v>0</v>
      </c>
      <c r="AT78" s="5">
        <f t="shared" si="10"/>
        <v>40</v>
      </c>
      <c r="AU78">
        <f t="shared" si="11"/>
        <v>0</v>
      </c>
      <c r="AV78">
        <f t="shared" si="12"/>
        <v>0</v>
      </c>
      <c r="AW78">
        <f t="shared" si="7"/>
        <v>42</v>
      </c>
    </row>
    <row r="79" spans="1:49" x14ac:dyDescent="0.35">
      <c r="A79" s="5" t="s">
        <v>130</v>
      </c>
      <c r="B79" s="16" t="s">
        <v>50</v>
      </c>
      <c r="C79" s="16" t="s">
        <v>50</v>
      </c>
      <c r="D79" s="16" t="s">
        <v>51</v>
      </c>
      <c r="E79" s="16" t="s">
        <v>50</v>
      </c>
      <c r="F79" s="16" t="s">
        <v>50</v>
      </c>
      <c r="G79" s="16" t="s">
        <v>50</v>
      </c>
      <c r="H79" s="16" t="s">
        <v>50</v>
      </c>
      <c r="I79" s="16" t="s">
        <v>50</v>
      </c>
      <c r="J79" s="16" t="s">
        <v>51</v>
      </c>
      <c r="K79" s="16" t="s">
        <v>50</v>
      </c>
      <c r="L79" s="16" t="s">
        <v>50</v>
      </c>
      <c r="M79" s="16" t="s">
        <v>50</v>
      </c>
      <c r="N79" s="16" t="s">
        <v>50</v>
      </c>
      <c r="O79" s="16" t="s">
        <v>50</v>
      </c>
      <c r="P79" s="16" t="s">
        <v>50</v>
      </c>
      <c r="Q79" s="16" t="s">
        <v>50</v>
      </c>
      <c r="R79" s="16" t="s">
        <v>50</v>
      </c>
      <c r="S79" s="16" t="s">
        <v>50</v>
      </c>
      <c r="T79" s="16" t="s">
        <v>50</v>
      </c>
      <c r="U79" s="16" t="s">
        <v>50</v>
      </c>
      <c r="V79" s="16" t="s">
        <v>50</v>
      </c>
      <c r="W79" s="16" t="s">
        <v>50</v>
      </c>
      <c r="X79" s="16" t="s">
        <v>50</v>
      </c>
      <c r="Y79" s="16" t="s">
        <v>50</v>
      </c>
      <c r="Z79" s="26" t="s">
        <v>51</v>
      </c>
      <c r="AA79" s="16" t="s">
        <v>50</v>
      </c>
      <c r="AB79" s="16" t="s">
        <v>50</v>
      </c>
      <c r="AC79" s="16" t="s">
        <v>50</v>
      </c>
      <c r="AD79" s="16" t="s">
        <v>50</v>
      </c>
      <c r="AE79" s="16" t="s">
        <v>50</v>
      </c>
      <c r="AF79" s="16" t="s">
        <v>50</v>
      </c>
      <c r="AG79" s="16" t="s">
        <v>50</v>
      </c>
      <c r="AH79" s="16" t="s">
        <v>50</v>
      </c>
      <c r="AI79" s="16" t="s">
        <v>50</v>
      </c>
      <c r="AJ79" s="16" t="s">
        <v>50</v>
      </c>
      <c r="AK79" s="16" t="s">
        <v>50</v>
      </c>
      <c r="AL79" s="16" t="s">
        <v>50</v>
      </c>
      <c r="AM79" s="16" t="s">
        <v>50</v>
      </c>
      <c r="AN79" s="16" t="s">
        <v>50</v>
      </c>
      <c r="AO79" s="16" t="s">
        <v>50</v>
      </c>
      <c r="AP79" s="16" t="s">
        <v>50</v>
      </c>
      <c r="AQ79" s="16" t="s">
        <v>50</v>
      </c>
      <c r="AR79" s="5">
        <f t="shared" si="8"/>
        <v>0</v>
      </c>
      <c r="AS79" s="5">
        <f t="shared" si="9"/>
        <v>3</v>
      </c>
      <c r="AT79" s="5">
        <f t="shared" si="10"/>
        <v>39</v>
      </c>
      <c r="AU79">
        <f t="shared" si="11"/>
        <v>0</v>
      </c>
      <c r="AV79">
        <f t="shared" si="12"/>
        <v>0</v>
      </c>
      <c r="AW79">
        <f t="shared" si="7"/>
        <v>42</v>
      </c>
    </row>
    <row r="80" spans="1:49" ht="30" customHeight="1" x14ac:dyDescent="0.35">
      <c r="A80" s="7" t="s">
        <v>131</v>
      </c>
      <c r="B80" s="18" t="s">
        <v>53</v>
      </c>
      <c r="C80" s="18" t="s">
        <v>53</v>
      </c>
      <c r="D80" s="18" t="s">
        <v>53</v>
      </c>
      <c r="E80" s="18" t="s">
        <v>53</v>
      </c>
      <c r="F80" s="18" t="s">
        <v>53</v>
      </c>
      <c r="G80" s="18" t="s">
        <v>53</v>
      </c>
      <c r="H80" s="18" t="s">
        <v>53</v>
      </c>
      <c r="I80" s="18" t="s">
        <v>53</v>
      </c>
      <c r="J80" s="18" t="s">
        <v>53</v>
      </c>
      <c r="K80" s="18" t="s">
        <v>53</v>
      </c>
      <c r="L80" s="18" t="s">
        <v>53</v>
      </c>
      <c r="M80" s="18" t="s">
        <v>53</v>
      </c>
      <c r="N80" s="18" t="s">
        <v>53</v>
      </c>
      <c r="O80" s="18" t="s">
        <v>53</v>
      </c>
      <c r="P80" s="18" t="s">
        <v>53</v>
      </c>
      <c r="Q80" s="18" t="s">
        <v>53</v>
      </c>
      <c r="R80" s="18" t="s">
        <v>53</v>
      </c>
      <c r="S80" s="16" t="s">
        <v>51</v>
      </c>
      <c r="T80" s="18" t="s">
        <v>53</v>
      </c>
      <c r="U80" s="18" t="s">
        <v>53</v>
      </c>
      <c r="V80" s="18" t="s">
        <v>53</v>
      </c>
      <c r="W80" s="18" t="s">
        <v>53</v>
      </c>
      <c r="X80" s="18" t="s">
        <v>53</v>
      </c>
      <c r="Y80" s="18" t="s">
        <v>53</v>
      </c>
      <c r="Z80" s="18" t="s">
        <v>53</v>
      </c>
      <c r="AA80" s="18" t="s">
        <v>53</v>
      </c>
      <c r="AB80" s="18" t="s">
        <v>53</v>
      </c>
      <c r="AC80" s="18" t="s">
        <v>53</v>
      </c>
      <c r="AD80" s="25" t="s">
        <v>53</v>
      </c>
      <c r="AE80" s="18" t="s">
        <v>53</v>
      </c>
      <c r="AF80" s="18" t="s">
        <v>53</v>
      </c>
      <c r="AG80" s="18" t="s">
        <v>53</v>
      </c>
      <c r="AH80" s="18" t="s">
        <v>53</v>
      </c>
      <c r="AI80" s="18" t="s">
        <v>53</v>
      </c>
      <c r="AJ80" s="18" t="s">
        <v>53</v>
      </c>
      <c r="AK80" s="18" t="s">
        <v>53</v>
      </c>
      <c r="AL80" s="18" t="s">
        <v>53</v>
      </c>
      <c r="AM80" s="18" t="s">
        <v>53</v>
      </c>
      <c r="AN80" s="18" t="s">
        <v>53</v>
      </c>
      <c r="AO80" s="18" t="s">
        <v>53</v>
      </c>
      <c r="AP80" s="18" t="s">
        <v>53</v>
      </c>
      <c r="AQ80" s="18" t="s">
        <v>53</v>
      </c>
      <c r="AR80" s="5">
        <f t="shared" si="8"/>
        <v>41</v>
      </c>
      <c r="AS80" s="5">
        <f t="shared" si="9"/>
        <v>1</v>
      </c>
      <c r="AT80" s="5">
        <f t="shared" si="10"/>
        <v>0</v>
      </c>
      <c r="AU80">
        <f t="shared" si="11"/>
        <v>0</v>
      </c>
      <c r="AV80">
        <f t="shared" si="12"/>
        <v>0</v>
      </c>
      <c r="AW80">
        <f t="shared" si="7"/>
        <v>42</v>
      </c>
    </row>
    <row r="81" spans="1:49" x14ac:dyDescent="0.35">
      <c r="A81" s="7" t="s">
        <v>132</v>
      </c>
      <c r="B81" s="16" t="s">
        <v>50</v>
      </c>
      <c r="C81" s="16" t="s">
        <v>50</v>
      </c>
      <c r="D81" s="27" t="s">
        <v>53</v>
      </c>
      <c r="E81" s="18" t="s">
        <v>53</v>
      </c>
      <c r="F81" s="18" t="s">
        <v>53</v>
      </c>
      <c r="G81" s="16" t="s">
        <v>50</v>
      </c>
      <c r="H81" s="16" t="s">
        <v>50</v>
      </c>
      <c r="I81" s="27" t="s">
        <v>53</v>
      </c>
      <c r="J81" s="18" t="s">
        <v>53</v>
      </c>
      <c r="K81" s="27" t="s">
        <v>53</v>
      </c>
      <c r="L81" s="27" t="s">
        <v>53</v>
      </c>
      <c r="M81" s="16" t="s">
        <v>50</v>
      </c>
      <c r="N81" s="16" t="s">
        <v>50</v>
      </c>
      <c r="O81" s="27" t="s">
        <v>53</v>
      </c>
      <c r="P81" s="16" t="s">
        <v>50</v>
      </c>
      <c r="Q81" s="16" t="s">
        <v>50</v>
      </c>
      <c r="R81" s="16" t="s">
        <v>50</v>
      </c>
      <c r="S81" s="16" t="s">
        <v>50</v>
      </c>
      <c r="T81" s="27" t="s">
        <v>53</v>
      </c>
      <c r="U81" s="27" t="s">
        <v>53</v>
      </c>
      <c r="V81" s="16" t="s">
        <v>50</v>
      </c>
      <c r="W81" s="27" t="s">
        <v>53</v>
      </c>
      <c r="X81" s="27" t="s">
        <v>53</v>
      </c>
      <c r="Y81" s="16" t="s">
        <v>50</v>
      </c>
      <c r="Z81" s="27" t="s">
        <v>53</v>
      </c>
      <c r="AA81" s="27" t="s">
        <v>53</v>
      </c>
      <c r="AB81" s="16" t="s">
        <v>50</v>
      </c>
      <c r="AC81" s="16" t="s">
        <v>50</v>
      </c>
      <c r="AD81" s="16" t="s">
        <v>50</v>
      </c>
      <c r="AE81" s="27" t="s">
        <v>53</v>
      </c>
      <c r="AF81" s="16" t="s">
        <v>50</v>
      </c>
      <c r="AG81" s="16" t="s">
        <v>50</v>
      </c>
      <c r="AH81" s="27" t="s">
        <v>53</v>
      </c>
      <c r="AI81" s="18" t="s">
        <v>53</v>
      </c>
      <c r="AJ81" s="27" t="s">
        <v>53</v>
      </c>
      <c r="AK81" s="16" t="s">
        <v>50</v>
      </c>
      <c r="AL81" s="16" t="s">
        <v>50</v>
      </c>
      <c r="AM81" s="18" t="s">
        <v>53</v>
      </c>
      <c r="AN81" s="27" t="s">
        <v>53</v>
      </c>
      <c r="AO81" s="27" t="s">
        <v>53</v>
      </c>
      <c r="AP81" s="27" t="s">
        <v>53</v>
      </c>
      <c r="AQ81" s="27" t="s">
        <v>53</v>
      </c>
      <c r="AR81" s="5">
        <f t="shared" si="8"/>
        <v>23</v>
      </c>
      <c r="AS81" s="5">
        <f t="shared" si="9"/>
        <v>0</v>
      </c>
      <c r="AT81" s="5">
        <f t="shared" si="10"/>
        <v>19</v>
      </c>
      <c r="AU81">
        <f t="shared" si="11"/>
        <v>0</v>
      </c>
      <c r="AV81">
        <f t="shared" si="12"/>
        <v>0</v>
      </c>
      <c r="AW81">
        <f t="shared" si="7"/>
        <v>42</v>
      </c>
    </row>
    <row r="82" spans="1:49" x14ac:dyDescent="0.35">
      <c r="A82" s="7" t="s">
        <v>133</v>
      </c>
      <c r="B82" s="16" t="s">
        <v>50</v>
      </c>
      <c r="C82" s="16" t="s">
        <v>50</v>
      </c>
      <c r="D82" s="16" t="s">
        <v>50</v>
      </c>
      <c r="E82" s="16" t="s">
        <v>50</v>
      </c>
      <c r="F82" s="16" t="s">
        <v>50</v>
      </c>
      <c r="G82" s="16" t="s">
        <v>50</v>
      </c>
      <c r="H82" s="16" t="s">
        <v>51</v>
      </c>
      <c r="I82" s="16" t="s">
        <v>50</v>
      </c>
      <c r="J82" s="16" t="s">
        <v>50</v>
      </c>
      <c r="K82" s="16" t="s">
        <v>50</v>
      </c>
      <c r="L82" s="16" t="s">
        <v>50</v>
      </c>
      <c r="M82" s="16" t="s">
        <v>50</v>
      </c>
      <c r="N82" s="16" t="s">
        <v>50</v>
      </c>
      <c r="O82" s="16" t="s">
        <v>50</v>
      </c>
      <c r="P82" s="16" t="s">
        <v>50</v>
      </c>
      <c r="Q82" s="16" t="s">
        <v>50</v>
      </c>
      <c r="R82" s="16" t="s">
        <v>50</v>
      </c>
      <c r="S82" s="16" t="s">
        <v>50</v>
      </c>
      <c r="T82" s="27" t="s">
        <v>53</v>
      </c>
      <c r="U82" s="16" t="s">
        <v>50</v>
      </c>
      <c r="V82" s="16" t="s">
        <v>50</v>
      </c>
      <c r="W82" s="16" t="s">
        <v>50</v>
      </c>
      <c r="X82" s="16" t="s">
        <v>50</v>
      </c>
      <c r="Y82" s="16" t="s">
        <v>50</v>
      </c>
      <c r="Z82" s="16" t="s">
        <v>50</v>
      </c>
      <c r="AA82" s="16" t="s">
        <v>50</v>
      </c>
      <c r="AB82" s="16" t="s">
        <v>50</v>
      </c>
      <c r="AC82" s="16" t="s">
        <v>50</v>
      </c>
      <c r="AD82" s="16" t="s">
        <v>50</v>
      </c>
      <c r="AE82" s="16" t="s">
        <v>50</v>
      </c>
      <c r="AF82" s="16" t="s">
        <v>50</v>
      </c>
      <c r="AG82" s="16" t="s">
        <v>50</v>
      </c>
      <c r="AH82" s="16" t="s">
        <v>50</v>
      </c>
      <c r="AI82" s="16" t="s">
        <v>50</v>
      </c>
      <c r="AJ82" s="16" t="s">
        <v>50</v>
      </c>
      <c r="AK82" s="16" t="s">
        <v>50</v>
      </c>
      <c r="AL82" s="16" t="s">
        <v>50</v>
      </c>
      <c r="AM82" s="16" t="s">
        <v>50</v>
      </c>
      <c r="AN82" s="16" t="s">
        <v>50</v>
      </c>
      <c r="AO82" s="16" t="s">
        <v>50</v>
      </c>
      <c r="AP82" s="16" t="s">
        <v>50</v>
      </c>
      <c r="AQ82" s="16" t="s">
        <v>50</v>
      </c>
      <c r="AR82" s="5">
        <f t="shared" si="8"/>
        <v>1</v>
      </c>
      <c r="AS82" s="5">
        <f t="shared" si="9"/>
        <v>1</v>
      </c>
      <c r="AT82" s="5">
        <f t="shared" si="10"/>
        <v>40</v>
      </c>
      <c r="AU82">
        <f t="shared" si="11"/>
        <v>0</v>
      </c>
      <c r="AV82">
        <f t="shared" si="12"/>
        <v>0</v>
      </c>
      <c r="AW82">
        <f t="shared" si="7"/>
        <v>42</v>
      </c>
    </row>
    <row r="83" spans="1:49" x14ac:dyDescent="0.35">
      <c r="A83" s="7" t="s">
        <v>134</v>
      </c>
      <c r="B83" s="16" t="s">
        <v>50</v>
      </c>
      <c r="C83" s="16" t="s">
        <v>50</v>
      </c>
      <c r="D83" s="16" t="s">
        <v>50</v>
      </c>
      <c r="E83" s="16" t="s">
        <v>50</v>
      </c>
      <c r="F83" s="16" t="s">
        <v>50</v>
      </c>
      <c r="G83" s="18" t="s">
        <v>53</v>
      </c>
      <c r="H83" s="18" t="s">
        <v>53</v>
      </c>
      <c r="I83" s="27" t="s">
        <v>53</v>
      </c>
      <c r="J83" s="16" t="s">
        <v>50</v>
      </c>
      <c r="K83" s="16" t="s">
        <v>50</v>
      </c>
      <c r="L83" s="16" t="s">
        <v>50</v>
      </c>
      <c r="M83" s="16" t="s">
        <v>50</v>
      </c>
      <c r="N83" s="16" t="s">
        <v>50</v>
      </c>
      <c r="O83" s="16" t="s">
        <v>50</v>
      </c>
      <c r="P83" s="18" t="s">
        <v>53</v>
      </c>
      <c r="Q83" s="16" t="s">
        <v>50</v>
      </c>
      <c r="R83" s="16" t="s">
        <v>50</v>
      </c>
      <c r="S83" s="16" t="s">
        <v>50</v>
      </c>
      <c r="T83" s="16" t="s">
        <v>50</v>
      </c>
      <c r="U83" s="16" t="s">
        <v>50</v>
      </c>
      <c r="V83" s="16" t="s">
        <v>50</v>
      </c>
      <c r="W83" s="16" t="s">
        <v>50</v>
      </c>
      <c r="X83" s="16" t="s">
        <v>50</v>
      </c>
      <c r="Y83" s="16" t="s">
        <v>50</v>
      </c>
      <c r="Z83" s="18" t="s">
        <v>53</v>
      </c>
      <c r="AA83" s="18" t="s">
        <v>53</v>
      </c>
      <c r="AB83" s="16" t="s">
        <v>50</v>
      </c>
      <c r="AC83" s="16" t="s">
        <v>50</v>
      </c>
      <c r="AD83" s="16" t="s">
        <v>50</v>
      </c>
      <c r="AE83" s="16" t="s">
        <v>50</v>
      </c>
      <c r="AF83" s="16" t="s">
        <v>50</v>
      </c>
      <c r="AG83" s="16" t="s">
        <v>50</v>
      </c>
      <c r="AH83" s="18" t="s">
        <v>53</v>
      </c>
      <c r="AI83" s="16" t="s">
        <v>50</v>
      </c>
      <c r="AJ83" s="18" t="s">
        <v>53</v>
      </c>
      <c r="AK83" s="16" t="s">
        <v>50</v>
      </c>
      <c r="AL83" s="18" t="s">
        <v>53</v>
      </c>
      <c r="AM83" s="16" t="s">
        <v>50</v>
      </c>
      <c r="AN83" s="16" t="s">
        <v>50</v>
      </c>
      <c r="AO83" s="16" t="s">
        <v>50</v>
      </c>
      <c r="AP83" s="16" t="s">
        <v>50</v>
      </c>
      <c r="AQ83" s="16" t="s">
        <v>50</v>
      </c>
      <c r="AR83" s="5">
        <f t="shared" si="8"/>
        <v>9</v>
      </c>
      <c r="AS83" s="5">
        <f t="shared" si="9"/>
        <v>0</v>
      </c>
      <c r="AT83" s="5">
        <f t="shared" si="10"/>
        <v>33</v>
      </c>
      <c r="AU83">
        <f t="shared" si="11"/>
        <v>0</v>
      </c>
      <c r="AV83">
        <f t="shared" si="12"/>
        <v>0</v>
      </c>
      <c r="AW83">
        <f t="shared" si="7"/>
        <v>42</v>
      </c>
    </row>
    <row r="84" spans="1:49" x14ac:dyDescent="0.35">
      <c r="A84" s="5" t="s">
        <v>135</v>
      </c>
      <c r="B84" s="18" t="s">
        <v>53</v>
      </c>
      <c r="C84" s="18" t="s">
        <v>53</v>
      </c>
      <c r="D84" s="18" t="s">
        <v>53</v>
      </c>
      <c r="E84" s="18" t="s">
        <v>53</v>
      </c>
      <c r="F84" s="35" t="s">
        <v>50</v>
      </c>
      <c r="G84" s="18" t="s">
        <v>53</v>
      </c>
      <c r="H84" s="18" t="s">
        <v>53</v>
      </c>
      <c r="I84" s="18" t="s">
        <v>53</v>
      </c>
      <c r="J84" s="18" t="s">
        <v>53</v>
      </c>
      <c r="K84" s="16" t="s">
        <v>51</v>
      </c>
      <c r="L84" s="16" t="s">
        <v>51</v>
      </c>
      <c r="M84" s="18" t="s">
        <v>53</v>
      </c>
      <c r="N84" s="18" t="s">
        <v>53</v>
      </c>
      <c r="O84" s="18" t="s">
        <v>53</v>
      </c>
      <c r="P84" s="18" t="s">
        <v>53</v>
      </c>
      <c r="Q84" s="31" t="s">
        <v>53</v>
      </c>
      <c r="R84" s="18" t="s">
        <v>53</v>
      </c>
      <c r="S84" s="18" t="s">
        <v>53</v>
      </c>
      <c r="T84" s="18" t="s">
        <v>53</v>
      </c>
      <c r="U84" s="18" t="s">
        <v>53</v>
      </c>
      <c r="V84" s="18" t="s">
        <v>53</v>
      </c>
      <c r="W84" s="18" t="s">
        <v>53</v>
      </c>
      <c r="X84" s="18" t="s">
        <v>53</v>
      </c>
      <c r="Y84" s="18" t="s">
        <v>53</v>
      </c>
      <c r="Z84" s="18" t="s">
        <v>53</v>
      </c>
      <c r="AA84" s="18" t="s">
        <v>53</v>
      </c>
      <c r="AB84" s="18" t="s">
        <v>53</v>
      </c>
      <c r="AC84" s="18" t="s">
        <v>53</v>
      </c>
      <c r="AD84" s="25" t="s">
        <v>53</v>
      </c>
      <c r="AE84" s="18" t="s">
        <v>53</v>
      </c>
      <c r="AF84" s="18" t="s">
        <v>53</v>
      </c>
      <c r="AG84" s="18" t="s">
        <v>53</v>
      </c>
      <c r="AH84" s="18" t="s">
        <v>53</v>
      </c>
      <c r="AI84" s="18" t="s">
        <v>53</v>
      </c>
      <c r="AJ84" s="18" t="s">
        <v>53</v>
      </c>
      <c r="AK84" s="18" t="s">
        <v>53</v>
      </c>
      <c r="AL84" s="18" t="s">
        <v>53</v>
      </c>
      <c r="AM84" s="18" t="s">
        <v>53</v>
      </c>
      <c r="AN84" s="18" t="s">
        <v>53</v>
      </c>
      <c r="AO84" s="18" t="s">
        <v>53</v>
      </c>
      <c r="AP84" s="18" t="s">
        <v>53</v>
      </c>
      <c r="AQ84" s="18" t="s">
        <v>53</v>
      </c>
      <c r="AR84" s="5">
        <f t="shared" si="8"/>
        <v>39</v>
      </c>
      <c r="AS84" s="5">
        <f t="shared" si="9"/>
        <v>2</v>
      </c>
      <c r="AT84" s="5">
        <f t="shared" si="10"/>
        <v>1</v>
      </c>
      <c r="AU84">
        <f t="shared" si="11"/>
        <v>0</v>
      </c>
      <c r="AV84">
        <f t="shared" si="12"/>
        <v>0</v>
      </c>
      <c r="AW84">
        <f t="shared" si="7"/>
        <v>42</v>
      </c>
    </row>
    <row r="85" spans="1:49" x14ac:dyDescent="0.35">
      <c r="A85" s="5" t="s">
        <v>136</v>
      </c>
      <c r="B85" s="16" t="s">
        <v>51</v>
      </c>
      <c r="C85" s="16" t="s">
        <v>51</v>
      </c>
      <c r="D85" s="16" t="s">
        <v>51</v>
      </c>
      <c r="E85" s="16" t="s">
        <v>51</v>
      </c>
      <c r="F85" s="16" t="s">
        <v>51</v>
      </c>
      <c r="G85" s="16" t="s">
        <v>51</v>
      </c>
      <c r="H85" s="16" t="s">
        <v>51</v>
      </c>
      <c r="I85" s="16" t="s">
        <v>51</v>
      </c>
      <c r="J85" s="16" t="s">
        <v>51</v>
      </c>
      <c r="K85" s="16" t="s">
        <v>51</v>
      </c>
      <c r="L85" s="16" t="s">
        <v>51</v>
      </c>
      <c r="M85" s="16" t="s">
        <v>51</v>
      </c>
      <c r="N85" s="16" t="s">
        <v>51</v>
      </c>
      <c r="O85" s="16" t="s">
        <v>51</v>
      </c>
      <c r="P85" s="16" t="s">
        <v>51</v>
      </c>
      <c r="Q85" s="16" t="s">
        <v>51</v>
      </c>
      <c r="R85" s="16" t="s">
        <v>51</v>
      </c>
      <c r="S85" s="16" t="s">
        <v>51</v>
      </c>
      <c r="T85" s="16" t="s">
        <v>51</v>
      </c>
      <c r="U85" s="16" t="s">
        <v>63</v>
      </c>
      <c r="V85" s="16" t="s">
        <v>51</v>
      </c>
      <c r="W85" s="16" t="s">
        <v>51</v>
      </c>
      <c r="X85" s="16" t="s">
        <v>51</v>
      </c>
      <c r="Y85" s="16" t="s">
        <v>50</v>
      </c>
      <c r="Z85" s="16" t="s">
        <v>51</v>
      </c>
      <c r="AA85" s="16" t="s">
        <v>51</v>
      </c>
      <c r="AB85" s="16" t="s">
        <v>51</v>
      </c>
      <c r="AC85" s="16" t="s">
        <v>51</v>
      </c>
      <c r="AD85" s="21" t="s">
        <v>51</v>
      </c>
      <c r="AE85" s="16" t="s">
        <v>51</v>
      </c>
      <c r="AF85" s="16" t="s">
        <v>51</v>
      </c>
      <c r="AG85" s="16" t="s">
        <v>51</v>
      </c>
      <c r="AH85" s="16" t="s">
        <v>51</v>
      </c>
      <c r="AI85" s="16" t="s">
        <v>51</v>
      </c>
      <c r="AJ85" s="16" t="s">
        <v>51</v>
      </c>
      <c r="AK85" s="16" t="s">
        <v>51</v>
      </c>
      <c r="AL85" s="16" t="s">
        <v>51</v>
      </c>
      <c r="AM85" s="16" t="s">
        <v>51</v>
      </c>
      <c r="AN85" s="16" t="s">
        <v>51</v>
      </c>
      <c r="AO85" s="16" t="s">
        <v>51</v>
      </c>
      <c r="AP85" s="16" t="s">
        <v>51</v>
      </c>
      <c r="AQ85" s="16" t="s">
        <v>51</v>
      </c>
      <c r="AR85" s="5">
        <f t="shared" si="8"/>
        <v>0</v>
      </c>
      <c r="AS85" s="5">
        <f t="shared" si="9"/>
        <v>40</v>
      </c>
      <c r="AT85" s="5">
        <f t="shared" si="10"/>
        <v>1</v>
      </c>
      <c r="AU85">
        <f t="shared" si="11"/>
        <v>1</v>
      </c>
      <c r="AV85">
        <f t="shared" si="12"/>
        <v>0</v>
      </c>
      <c r="AW85">
        <f t="shared" si="7"/>
        <v>42</v>
      </c>
    </row>
    <row r="86" spans="1:49" x14ac:dyDescent="0.35">
      <c r="A86" s="5" t="s">
        <v>137</v>
      </c>
      <c r="B86" s="16" t="s">
        <v>50</v>
      </c>
      <c r="C86" s="16" t="s">
        <v>50</v>
      </c>
      <c r="D86" s="16" t="s">
        <v>50</v>
      </c>
      <c r="E86" s="16" t="s">
        <v>50</v>
      </c>
      <c r="F86" s="16" t="s">
        <v>50</v>
      </c>
      <c r="G86" s="18" t="s">
        <v>53</v>
      </c>
      <c r="H86" s="16" t="s">
        <v>50</v>
      </c>
      <c r="I86" s="16" t="s">
        <v>50</v>
      </c>
      <c r="J86" s="18" t="s">
        <v>53</v>
      </c>
      <c r="K86" s="18" t="s">
        <v>53</v>
      </c>
      <c r="L86" s="16" t="s">
        <v>50</v>
      </c>
      <c r="M86" s="18" t="s">
        <v>53</v>
      </c>
      <c r="N86" s="16" t="s">
        <v>50</v>
      </c>
      <c r="O86" s="16" t="s">
        <v>50</v>
      </c>
      <c r="P86" s="16" t="s">
        <v>50</v>
      </c>
      <c r="Q86" s="16" t="s">
        <v>50</v>
      </c>
      <c r="R86" s="16" t="s">
        <v>50</v>
      </c>
      <c r="S86" s="16" t="s">
        <v>50</v>
      </c>
      <c r="T86" s="16" t="s">
        <v>50</v>
      </c>
      <c r="U86" s="16" t="s">
        <v>50</v>
      </c>
      <c r="V86" s="16" t="s">
        <v>50</v>
      </c>
      <c r="W86" s="16" t="s">
        <v>50</v>
      </c>
      <c r="X86" s="16" t="s">
        <v>50</v>
      </c>
      <c r="Y86" s="16" t="s">
        <v>50</v>
      </c>
      <c r="Z86" s="16" t="s">
        <v>50</v>
      </c>
      <c r="AA86" s="16" t="s">
        <v>50</v>
      </c>
      <c r="AB86" s="16" t="s">
        <v>50</v>
      </c>
      <c r="AC86" s="16" t="s">
        <v>50</v>
      </c>
      <c r="AD86" s="16" t="s">
        <v>50</v>
      </c>
      <c r="AE86" s="16" t="s">
        <v>50</v>
      </c>
      <c r="AF86" s="16" t="s">
        <v>50</v>
      </c>
      <c r="AG86" s="16" t="s">
        <v>50</v>
      </c>
      <c r="AH86" s="18" t="s">
        <v>53</v>
      </c>
      <c r="AI86" s="18" t="s">
        <v>53</v>
      </c>
      <c r="AJ86" s="16" t="s">
        <v>50</v>
      </c>
      <c r="AK86" s="16" t="s">
        <v>50</v>
      </c>
      <c r="AL86" s="16" t="s">
        <v>50</v>
      </c>
      <c r="AM86" s="18" t="s">
        <v>53</v>
      </c>
      <c r="AN86" s="16" t="s">
        <v>50</v>
      </c>
      <c r="AO86" s="16" t="s">
        <v>50</v>
      </c>
      <c r="AP86" s="16" t="s">
        <v>50</v>
      </c>
      <c r="AQ86" s="16" t="s">
        <v>50</v>
      </c>
      <c r="AR86" s="5">
        <f t="shared" si="8"/>
        <v>7</v>
      </c>
      <c r="AS86" s="5">
        <f t="shared" si="9"/>
        <v>0</v>
      </c>
      <c r="AT86" s="5">
        <f t="shared" si="10"/>
        <v>35</v>
      </c>
      <c r="AU86">
        <f t="shared" si="11"/>
        <v>0</v>
      </c>
      <c r="AV86">
        <f t="shared" si="12"/>
        <v>0</v>
      </c>
      <c r="AW86">
        <f t="shared" si="7"/>
        <v>42</v>
      </c>
    </row>
    <row r="87" spans="1:49" x14ac:dyDescent="0.35">
      <c r="A87" s="5" t="s">
        <v>138</v>
      </c>
      <c r="B87" s="16" t="s">
        <v>50</v>
      </c>
      <c r="C87" s="16" t="s">
        <v>50</v>
      </c>
      <c r="D87" s="16" t="s">
        <v>50</v>
      </c>
      <c r="E87" s="16" t="s">
        <v>50</v>
      </c>
      <c r="F87" s="16" t="s">
        <v>50</v>
      </c>
      <c r="G87" s="16" t="s">
        <v>50</v>
      </c>
      <c r="H87" s="16" t="s">
        <v>50</v>
      </c>
      <c r="I87" s="16" t="s">
        <v>50</v>
      </c>
      <c r="J87" s="16" t="s">
        <v>50</v>
      </c>
      <c r="K87" s="16" t="s">
        <v>50</v>
      </c>
      <c r="L87" s="16" t="s">
        <v>50</v>
      </c>
      <c r="M87" s="16" t="s">
        <v>50</v>
      </c>
      <c r="N87" s="16" t="s">
        <v>50</v>
      </c>
      <c r="O87" s="16" t="s">
        <v>50</v>
      </c>
      <c r="P87" s="16" t="s">
        <v>50</v>
      </c>
      <c r="Q87" s="16" t="s">
        <v>50</v>
      </c>
      <c r="R87" s="16" t="s">
        <v>50</v>
      </c>
      <c r="S87" s="16" t="s">
        <v>50</v>
      </c>
      <c r="T87" s="18" t="s">
        <v>53</v>
      </c>
      <c r="U87" s="16" t="s">
        <v>50</v>
      </c>
      <c r="V87" s="16" t="s">
        <v>50</v>
      </c>
      <c r="W87" s="16" t="s">
        <v>50</v>
      </c>
      <c r="X87" s="28" t="s">
        <v>50</v>
      </c>
      <c r="Y87" s="16" t="s">
        <v>50</v>
      </c>
      <c r="Z87" s="16" t="s">
        <v>50</v>
      </c>
      <c r="AA87" s="28" t="s">
        <v>50</v>
      </c>
      <c r="AB87" s="16" t="s">
        <v>50</v>
      </c>
      <c r="AC87" s="16" t="s">
        <v>50</v>
      </c>
      <c r="AD87" s="18" t="s">
        <v>53</v>
      </c>
      <c r="AE87" s="16" t="s">
        <v>50</v>
      </c>
      <c r="AF87" s="16" t="s">
        <v>50</v>
      </c>
      <c r="AG87" s="16" t="s">
        <v>50</v>
      </c>
      <c r="AH87" s="16" t="s">
        <v>50</v>
      </c>
      <c r="AI87" s="16" t="s">
        <v>50</v>
      </c>
      <c r="AJ87" s="16" t="s">
        <v>50</v>
      </c>
      <c r="AK87" s="16" t="s">
        <v>50</v>
      </c>
      <c r="AL87" s="16" t="s">
        <v>50</v>
      </c>
      <c r="AM87" s="16" t="s">
        <v>50</v>
      </c>
      <c r="AN87" s="16" t="s">
        <v>50</v>
      </c>
      <c r="AO87" s="16" t="s">
        <v>50</v>
      </c>
      <c r="AP87" s="16" t="s">
        <v>50</v>
      </c>
      <c r="AQ87" s="16" t="s">
        <v>50</v>
      </c>
      <c r="AR87" s="5">
        <f t="shared" si="8"/>
        <v>2</v>
      </c>
      <c r="AS87" s="5">
        <f t="shared" si="9"/>
        <v>0</v>
      </c>
      <c r="AT87" s="5">
        <f t="shared" si="10"/>
        <v>40</v>
      </c>
      <c r="AU87">
        <f t="shared" si="11"/>
        <v>0</v>
      </c>
      <c r="AV87">
        <f t="shared" si="12"/>
        <v>0</v>
      </c>
      <c r="AW87">
        <f t="shared" si="7"/>
        <v>42</v>
      </c>
    </row>
    <row r="88" spans="1:49" x14ac:dyDescent="0.35">
      <c r="A88" s="7" t="s">
        <v>139</v>
      </c>
      <c r="B88" s="18" t="s">
        <v>53</v>
      </c>
      <c r="C88" s="18" t="s">
        <v>53</v>
      </c>
      <c r="D88" s="18" t="s">
        <v>53</v>
      </c>
      <c r="E88" s="18" t="s">
        <v>53</v>
      </c>
      <c r="F88" s="18" t="s">
        <v>53</v>
      </c>
      <c r="G88" s="18" t="s">
        <v>53</v>
      </c>
      <c r="H88" s="34" t="s">
        <v>51</v>
      </c>
      <c r="I88" s="18" t="s">
        <v>53</v>
      </c>
      <c r="J88" s="18" t="s">
        <v>53</v>
      </c>
      <c r="K88" s="18" t="s">
        <v>53</v>
      </c>
      <c r="L88" s="18" t="s">
        <v>53</v>
      </c>
      <c r="M88" s="18" t="s">
        <v>53</v>
      </c>
      <c r="N88" s="18" t="s">
        <v>53</v>
      </c>
      <c r="O88" s="18" t="s">
        <v>53</v>
      </c>
      <c r="P88" s="18" t="s">
        <v>53</v>
      </c>
      <c r="Q88" s="18" t="s">
        <v>53</v>
      </c>
      <c r="R88" s="18" t="s">
        <v>53</v>
      </c>
      <c r="S88" s="18" t="s">
        <v>53</v>
      </c>
      <c r="T88" s="16" t="s">
        <v>51</v>
      </c>
      <c r="U88" s="16" t="s">
        <v>63</v>
      </c>
      <c r="V88" s="16" t="s">
        <v>51</v>
      </c>
      <c r="W88" s="18" t="s">
        <v>53</v>
      </c>
      <c r="X88" s="18" t="s">
        <v>53</v>
      </c>
      <c r="Y88" s="18" t="s">
        <v>53</v>
      </c>
      <c r="Z88" s="18" t="s">
        <v>53</v>
      </c>
      <c r="AA88" s="18" t="s">
        <v>53</v>
      </c>
      <c r="AB88" s="18" t="s">
        <v>53</v>
      </c>
      <c r="AC88" s="18" t="s">
        <v>53</v>
      </c>
      <c r="AD88" s="25" t="s">
        <v>53</v>
      </c>
      <c r="AE88" s="18" t="s">
        <v>53</v>
      </c>
      <c r="AF88" s="18" t="s">
        <v>53</v>
      </c>
      <c r="AG88" s="18" t="s">
        <v>53</v>
      </c>
      <c r="AH88" s="18" t="s">
        <v>53</v>
      </c>
      <c r="AI88" s="18" t="s">
        <v>53</v>
      </c>
      <c r="AJ88" s="18" t="s">
        <v>53</v>
      </c>
      <c r="AK88" s="16" t="s">
        <v>51</v>
      </c>
      <c r="AL88" s="18" t="s">
        <v>53</v>
      </c>
      <c r="AM88" s="18" t="s">
        <v>53</v>
      </c>
      <c r="AN88" s="18" t="s">
        <v>53</v>
      </c>
      <c r="AO88" s="18" t="s">
        <v>53</v>
      </c>
      <c r="AP88" s="18" t="s">
        <v>53</v>
      </c>
      <c r="AQ88" s="18" t="s">
        <v>53</v>
      </c>
      <c r="AR88" s="5">
        <f t="shared" si="8"/>
        <v>37</v>
      </c>
      <c r="AS88" s="5">
        <f t="shared" si="9"/>
        <v>4</v>
      </c>
      <c r="AT88" s="5">
        <f t="shared" si="10"/>
        <v>0</v>
      </c>
      <c r="AU88">
        <f t="shared" si="11"/>
        <v>1</v>
      </c>
      <c r="AV88">
        <f t="shared" si="12"/>
        <v>0</v>
      </c>
      <c r="AW88">
        <f t="shared" si="7"/>
        <v>42</v>
      </c>
    </row>
    <row r="89" spans="1:49" x14ac:dyDescent="0.35">
      <c r="A89" s="7" t="s">
        <v>140</v>
      </c>
      <c r="B89" s="16" t="s">
        <v>50</v>
      </c>
      <c r="C89" s="16" t="s">
        <v>50</v>
      </c>
      <c r="D89" s="16" t="s">
        <v>50</v>
      </c>
      <c r="E89" s="31" t="s">
        <v>53</v>
      </c>
      <c r="F89" s="18" t="s">
        <v>53</v>
      </c>
      <c r="G89" s="16" t="s">
        <v>50</v>
      </c>
      <c r="H89" s="16" t="s">
        <v>50</v>
      </c>
      <c r="I89" s="28" t="s">
        <v>50</v>
      </c>
      <c r="J89" s="16" t="s">
        <v>50</v>
      </c>
      <c r="K89" s="27" t="s">
        <v>53</v>
      </c>
      <c r="L89" s="16" t="s">
        <v>50</v>
      </c>
      <c r="M89" s="16" t="s">
        <v>50</v>
      </c>
      <c r="N89" s="16" t="s">
        <v>50</v>
      </c>
      <c r="O89" s="18" t="s">
        <v>53</v>
      </c>
      <c r="P89" s="16" t="s">
        <v>50</v>
      </c>
      <c r="Q89" s="16" t="s">
        <v>50</v>
      </c>
      <c r="R89" s="16" t="s">
        <v>50</v>
      </c>
      <c r="S89" s="16" t="s">
        <v>50</v>
      </c>
      <c r="T89" s="27" t="s">
        <v>53</v>
      </c>
      <c r="U89" s="27" t="s">
        <v>53</v>
      </c>
      <c r="V89" s="16" t="s">
        <v>50</v>
      </c>
      <c r="W89" s="18" t="s">
        <v>53</v>
      </c>
      <c r="X89" s="16" t="s">
        <v>50</v>
      </c>
      <c r="Y89" s="16" t="s">
        <v>50</v>
      </c>
      <c r="Z89" s="18" t="s">
        <v>53</v>
      </c>
      <c r="AA89" s="16" t="s">
        <v>50</v>
      </c>
      <c r="AB89" s="16" t="s">
        <v>50</v>
      </c>
      <c r="AC89" s="18" t="s">
        <v>53</v>
      </c>
      <c r="AD89" s="18" t="s">
        <v>53</v>
      </c>
      <c r="AE89" s="18" t="s">
        <v>53</v>
      </c>
      <c r="AF89" s="16" t="s">
        <v>50</v>
      </c>
      <c r="AG89" s="16" t="s">
        <v>50</v>
      </c>
      <c r="AH89" s="18" t="s">
        <v>53</v>
      </c>
      <c r="AI89" s="16" t="s">
        <v>50</v>
      </c>
      <c r="AJ89" s="16" t="s">
        <v>50</v>
      </c>
      <c r="AK89" s="16" t="s">
        <v>50</v>
      </c>
      <c r="AL89" s="18" t="s">
        <v>53</v>
      </c>
      <c r="AM89" s="16" t="s">
        <v>50</v>
      </c>
      <c r="AN89" s="16" t="s">
        <v>50</v>
      </c>
      <c r="AO89" s="16" t="s">
        <v>50</v>
      </c>
      <c r="AP89" s="16" t="s">
        <v>50</v>
      </c>
      <c r="AQ89" s="16" t="s">
        <v>50</v>
      </c>
      <c r="AR89" s="5">
        <f t="shared" si="8"/>
        <v>13</v>
      </c>
      <c r="AS89" s="5">
        <f t="shared" si="9"/>
        <v>0</v>
      </c>
      <c r="AT89" s="5">
        <f t="shared" si="10"/>
        <v>29</v>
      </c>
      <c r="AU89">
        <f t="shared" si="11"/>
        <v>0</v>
      </c>
      <c r="AV89">
        <f t="shared" si="12"/>
        <v>0</v>
      </c>
      <c r="AW89">
        <f t="shared" si="7"/>
        <v>42</v>
      </c>
    </row>
    <row r="90" spans="1:49" x14ac:dyDescent="0.35">
      <c r="A90" s="5" t="s">
        <v>141</v>
      </c>
      <c r="B90" s="18" t="s">
        <v>53</v>
      </c>
      <c r="C90" s="18" t="s">
        <v>53</v>
      </c>
      <c r="D90" s="18" t="s">
        <v>53</v>
      </c>
      <c r="E90" s="18" t="s">
        <v>53</v>
      </c>
      <c r="F90" s="18" t="s">
        <v>53</v>
      </c>
      <c r="G90" s="18" t="s">
        <v>53</v>
      </c>
      <c r="H90" s="18" t="s">
        <v>53</v>
      </c>
      <c r="I90" s="18" t="s">
        <v>53</v>
      </c>
      <c r="J90" s="18" t="s">
        <v>53</v>
      </c>
      <c r="K90" s="27" t="s">
        <v>53</v>
      </c>
      <c r="L90" s="18" t="s">
        <v>53</v>
      </c>
      <c r="M90" s="18" t="s">
        <v>53</v>
      </c>
      <c r="N90" s="18" t="s">
        <v>53</v>
      </c>
      <c r="O90" s="18" t="s">
        <v>53</v>
      </c>
      <c r="P90" s="18" t="s">
        <v>53</v>
      </c>
      <c r="Q90" s="18" t="s">
        <v>53</v>
      </c>
      <c r="R90" s="18" t="s">
        <v>53</v>
      </c>
      <c r="S90" s="18" t="s">
        <v>53</v>
      </c>
      <c r="T90" s="18" t="s">
        <v>53</v>
      </c>
      <c r="U90" s="18" t="s">
        <v>53</v>
      </c>
      <c r="V90" s="27" t="s">
        <v>53</v>
      </c>
      <c r="W90" s="18" t="s">
        <v>53</v>
      </c>
      <c r="X90" s="16" t="s">
        <v>50</v>
      </c>
      <c r="Y90" s="18" t="s">
        <v>53</v>
      </c>
      <c r="Z90" s="18" t="s">
        <v>53</v>
      </c>
      <c r="AA90" s="18" t="s">
        <v>53</v>
      </c>
      <c r="AB90" s="18" t="s">
        <v>53</v>
      </c>
      <c r="AC90" s="18" t="s">
        <v>53</v>
      </c>
      <c r="AD90" s="25" t="s">
        <v>53</v>
      </c>
      <c r="AE90" s="16" t="s">
        <v>50</v>
      </c>
      <c r="AF90" s="18" t="s">
        <v>53</v>
      </c>
      <c r="AG90" s="18" t="s">
        <v>53</v>
      </c>
      <c r="AH90" s="18" t="s">
        <v>53</v>
      </c>
      <c r="AI90" s="18" t="s">
        <v>53</v>
      </c>
      <c r="AJ90" s="18" t="s">
        <v>53</v>
      </c>
      <c r="AK90" s="18" t="s">
        <v>53</v>
      </c>
      <c r="AL90" s="18" t="s">
        <v>53</v>
      </c>
      <c r="AM90" s="18" t="s">
        <v>53</v>
      </c>
      <c r="AN90" s="18" t="s">
        <v>53</v>
      </c>
      <c r="AO90" s="18" t="s">
        <v>53</v>
      </c>
      <c r="AP90" s="18" t="s">
        <v>53</v>
      </c>
      <c r="AQ90" s="18" t="s">
        <v>53</v>
      </c>
      <c r="AR90" s="5">
        <f t="shared" si="8"/>
        <v>40</v>
      </c>
      <c r="AS90" s="5">
        <f t="shared" si="9"/>
        <v>0</v>
      </c>
      <c r="AT90" s="5">
        <f t="shared" si="10"/>
        <v>2</v>
      </c>
      <c r="AU90">
        <f t="shared" si="11"/>
        <v>0</v>
      </c>
      <c r="AV90">
        <f t="shared" si="12"/>
        <v>0</v>
      </c>
      <c r="AW90">
        <f t="shared" si="7"/>
        <v>42</v>
      </c>
    </row>
    <row r="91" spans="1:49" x14ac:dyDescent="0.35">
      <c r="A91" s="5" t="s">
        <v>142</v>
      </c>
      <c r="B91" s="16" t="s">
        <v>50</v>
      </c>
      <c r="C91" s="16" t="s">
        <v>50</v>
      </c>
      <c r="D91" s="16" t="s">
        <v>50</v>
      </c>
      <c r="E91" s="16" t="s">
        <v>50</v>
      </c>
      <c r="F91" s="16" t="s">
        <v>50</v>
      </c>
      <c r="G91" s="18" t="s">
        <v>53</v>
      </c>
      <c r="H91" s="16" t="s">
        <v>50</v>
      </c>
      <c r="I91" s="16" t="s">
        <v>50</v>
      </c>
      <c r="J91" s="16" t="s">
        <v>50</v>
      </c>
      <c r="K91" s="18" t="s">
        <v>53</v>
      </c>
      <c r="L91" s="16" t="s">
        <v>50</v>
      </c>
      <c r="M91" s="16" t="s">
        <v>50</v>
      </c>
      <c r="N91" s="16" t="s">
        <v>50</v>
      </c>
      <c r="O91" s="18" t="s">
        <v>53</v>
      </c>
      <c r="P91" s="16" t="s">
        <v>50</v>
      </c>
      <c r="Q91" s="18" t="s">
        <v>53</v>
      </c>
      <c r="R91" s="16" t="s">
        <v>50</v>
      </c>
      <c r="S91" s="16" t="s">
        <v>50</v>
      </c>
      <c r="T91" s="16" t="s">
        <v>50</v>
      </c>
      <c r="U91" s="16" t="s">
        <v>50</v>
      </c>
      <c r="V91" s="16" t="s">
        <v>50</v>
      </c>
      <c r="W91" s="16" t="s">
        <v>50</v>
      </c>
      <c r="X91" s="16" t="s">
        <v>50</v>
      </c>
      <c r="Y91" s="18" t="s">
        <v>53</v>
      </c>
      <c r="Z91" s="16" t="s">
        <v>50</v>
      </c>
      <c r="AA91" s="16" t="s">
        <v>50</v>
      </c>
      <c r="AB91" s="16" t="s">
        <v>50</v>
      </c>
      <c r="AC91" s="16" t="s">
        <v>50</v>
      </c>
      <c r="AD91" s="16" t="s">
        <v>50</v>
      </c>
      <c r="AE91" s="16" t="s">
        <v>50</v>
      </c>
      <c r="AF91" s="16" t="s">
        <v>50</v>
      </c>
      <c r="AG91" s="16" t="s">
        <v>50</v>
      </c>
      <c r="AH91" s="16" t="s">
        <v>50</v>
      </c>
      <c r="AI91" s="16" t="s">
        <v>50</v>
      </c>
      <c r="AJ91" s="16" t="s">
        <v>50</v>
      </c>
      <c r="AK91" s="16" t="s">
        <v>50</v>
      </c>
      <c r="AL91" s="16" t="s">
        <v>50</v>
      </c>
      <c r="AM91" s="16" t="s">
        <v>50</v>
      </c>
      <c r="AN91" s="16" t="s">
        <v>50</v>
      </c>
      <c r="AO91" s="16" t="s">
        <v>50</v>
      </c>
      <c r="AP91" s="16" t="s">
        <v>50</v>
      </c>
      <c r="AQ91" s="16" t="s">
        <v>50</v>
      </c>
      <c r="AR91" s="5">
        <f t="shared" si="8"/>
        <v>5</v>
      </c>
      <c r="AS91" s="5">
        <f t="shared" si="9"/>
        <v>0</v>
      </c>
      <c r="AT91" s="5">
        <f t="shared" si="10"/>
        <v>37</v>
      </c>
      <c r="AU91">
        <f t="shared" si="11"/>
        <v>0</v>
      </c>
      <c r="AV91">
        <f t="shared" si="12"/>
        <v>0</v>
      </c>
      <c r="AW91">
        <f t="shared" si="7"/>
        <v>42</v>
      </c>
    </row>
    <row r="92" spans="1:49" x14ac:dyDescent="0.35">
      <c r="A92" s="5" t="s">
        <v>143</v>
      </c>
      <c r="B92" s="16" t="s">
        <v>50</v>
      </c>
      <c r="C92" s="16" t="s">
        <v>50</v>
      </c>
      <c r="D92" s="16" t="s">
        <v>51</v>
      </c>
      <c r="E92" s="16" t="s">
        <v>50</v>
      </c>
      <c r="F92" s="16" t="s">
        <v>51</v>
      </c>
      <c r="G92" s="16" t="s">
        <v>51</v>
      </c>
      <c r="H92" s="16" t="s">
        <v>51</v>
      </c>
      <c r="I92" s="16" t="s">
        <v>50</v>
      </c>
      <c r="J92" s="16" t="s">
        <v>51</v>
      </c>
      <c r="K92" s="16" t="s">
        <v>51</v>
      </c>
      <c r="L92" s="16" t="s">
        <v>50</v>
      </c>
      <c r="M92" s="16" t="s">
        <v>51</v>
      </c>
      <c r="N92" s="16" t="s">
        <v>51</v>
      </c>
      <c r="O92" s="16" t="s">
        <v>51</v>
      </c>
      <c r="P92" s="26" t="s">
        <v>51</v>
      </c>
      <c r="Q92" s="18" t="s">
        <v>53</v>
      </c>
      <c r="R92" s="18" t="s">
        <v>53</v>
      </c>
      <c r="S92" s="16" t="s">
        <v>51</v>
      </c>
      <c r="T92" s="16" t="s">
        <v>51</v>
      </c>
      <c r="U92" s="16" t="s">
        <v>50</v>
      </c>
      <c r="V92" s="18" t="s">
        <v>53</v>
      </c>
      <c r="W92" s="16" t="s">
        <v>50</v>
      </c>
      <c r="X92" s="16" t="s">
        <v>51</v>
      </c>
      <c r="Y92" s="16" t="s">
        <v>51</v>
      </c>
      <c r="Z92" s="16" t="s">
        <v>51</v>
      </c>
      <c r="AA92" s="16" t="s">
        <v>51</v>
      </c>
      <c r="AB92" s="16" t="s">
        <v>51</v>
      </c>
      <c r="AC92" s="16" t="s">
        <v>50</v>
      </c>
      <c r="AD92" s="25" t="s">
        <v>53</v>
      </c>
      <c r="AE92" s="16" t="s">
        <v>51</v>
      </c>
      <c r="AF92" s="16" t="s">
        <v>51</v>
      </c>
      <c r="AG92" s="26" t="s">
        <v>51</v>
      </c>
      <c r="AH92" s="16" t="s">
        <v>51</v>
      </c>
      <c r="AI92" s="16" t="s">
        <v>51</v>
      </c>
      <c r="AJ92" s="16" t="s">
        <v>51</v>
      </c>
      <c r="AK92" s="16" t="s">
        <v>50</v>
      </c>
      <c r="AL92" s="16" t="s">
        <v>50</v>
      </c>
      <c r="AM92" s="16" t="s">
        <v>51</v>
      </c>
      <c r="AN92" s="16" t="s">
        <v>50</v>
      </c>
      <c r="AO92" s="16" t="s">
        <v>51</v>
      </c>
      <c r="AP92" s="16" t="s">
        <v>51</v>
      </c>
      <c r="AQ92" s="16" t="s">
        <v>50</v>
      </c>
      <c r="AR92" s="5">
        <f t="shared" si="8"/>
        <v>4</v>
      </c>
      <c r="AS92" s="5">
        <f t="shared" si="9"/>
        <v>26</v>
      </c>
      <c r="AT92" s="5">
        <f t="shared" si="10"/>
        <v>12</v>
      </c>
      <c r="AU92">
        <f t="shared" si="11"/>
        <v>0</v>
      </c>
      <c r="AV92">
        <f t="shared" si="12"/>
        <v>0</v>
      </c>
      <c r="AW92">
        <f t="shared" si="7"/>
        <v>42</v>
      </c>
    </row>
    <row r="93" spans="1:49" x14ac:dyDescent="0.35">
      <c r="A93" s="5" t="s">
        <v>144</v>
      </c>
      <c r="B93" s="16" t="s">
        <v>50</v>
      </c>
      <c r="C93" s="16" t="s">
        <v>50</v>
      </c>
      <c r="D93" s="16" t="s">
        <v>51</v>
      </c>
      <c r="E93" s="16" t="s">
        <v>50</v>
      </c>
      <c r="F93" s="16" t="s">
        <v>50</v>
      </c>
      <c r="G93" s="16" t="s">
        <v>50</v>
      </c>
      <c r="H93" s="16" t="s">
        <v>50</v>
      </c>
      <c r="I93" s="16" t="s">
        <v>50</v>
      </c>
      <c r="J93" s="16" t="s">
        <v>51</v>
      </c>
      <c r="K93" s="16" t="s">
        <v>50</v>
      </c>
      <c r="L93" s="16" t="s">
        <v>50</v>
      </c>
      <c r="M93" s="18" t="s">
        <v>53</v>
      </c>
      <c r="N93" s="16" t="s">
        <v>50</v>
      </c>
      <c r="O93" s="16" t="s">
        <v>50</v>
      </c>
      <c r="P93" s="16" t="s">
        <v>50</v>
      </c>
      <c r="Q93" s="18" t="s">
        <v>53</v>
      </c>
      <c r="R93" s="18" t="s">
        <v>53</v>
      </c>
      <c r="S93" s="16" t="s">
        <v>50</v>
      </c>
      <c r="T93" s="16" t="s">
        <v>50</v>
      </c>
      <c r="U93" s="34" t="s">
        <v>51</v>
      </c>
      <c r="V93" s="16" t="s">
        <v>51</v>
      </c>
      <c r="W93" s="16" t="s">
        <v>50</v>
      </c>
      <c r="X93" s="16" t="s">
        <v>50</v>
      </c>
      <c r="Y93" s="16" t="s">
        <v>50</v>
      </c>
      <c r="Z93" s="16" t="s">
        <v>51</v>
      </c>
      <c r="AA93" s="18" t="s">
        <v>53</v>
      </c>
      <c r="AB93" s="16" t="s">
        <v>51</v>
      </c>
      <c r="AC93" s="16" t="s">
        <v>50</v>
      </c>
      <c r="AD93" s="25" t="s">
        <v>53</v>
      </c>
      <c r="AE93" s="16" t="s">
        <v>50</v>
      </c>
      <c r="AF93" s="16" t="s">
        <v>50</v>
      </c>
      <c r="AG93" s="16" t="s">
        <v>50</v>
      </c>
      <c r="AH93" s="16" t="s">
        <v>50</v>
      </c>
      <c r="AI93" s="16" t="s">
        <v>50</v>
      </c>
      <c r="AJ93" s="16" t="s">
        <v>50</v>
      </c>
      <c r="AK93" s="16" t="s">
        <v>50</v>
      </c>
      <c r="AL93" s="16" t="s">
        <v>50</v>
      </c>
      <c r="AM93" s="18" t="s">
        <v>53</v>
      </c>
      <c r="AN93" s="16" t="s">
        <v>50</v>
      </c>
      <c r="AO93" s="16" t="s">
        <v>50</v>
      </c>
      <c r="AP93" s="16" t="s">
        <v>50</v>
      </c>
      <c r="AQ93" s="16" t="s">
        <v>51</v>
      </c>
      <c r="AR93" s="5">
        <f t="shared" si="8"/>
        <v>6</v>
      </c>
      <c r="AS93" s="5">
        <f t="shared" si="9"/>
        <v>7</v>
      </c>
      <c r="AT93" s="5">
        <f t="shared" si="10"/>
        <v>29</v>
      </c>
      <c r="AU93">
        <f t="shared" si="11"/>
        <v>0</v>
      </c>
      <c r="AV93">
        <f t="shared" si="12"/>
        <v>0</v>
      </c>
      <c r="AW93">
        <f t="shared" si="7"/>
        <v>42</v>
      </c>
    </row>
    <row r="94" spans="1:49" x14ac:dyDescent="0.35">
      <c r="A94" s="5" t="s">
        <v>145</v>
      </c>
      <c r="B94" s="16" t="s">
        <v>50</v>
      </c>
      <c r="C94" s="16" t="s">
        <v>50</v>
      </c>
      <c r="D94" s="16" t="s">
        <v>50</v>
      </c>
      <c r="E94" s="16" t="s">
        <v>50</v>
      </c>
      <c r="F94" s="16" t="s">
        <v>51</v>
      </c>
      <c r="G94" s="16" t="s">
        <v>50</v>
      </c>
      <c r="H94" s="16" t="s">
        <v>50</v>
      </c>
      <c r="I94" s="16" t="s">
        <v>50</v>
      </c>
      <c r="J94" s="16" t="s">
        <v>51</v>
      </c>
      <c r="K94" s="16" t="s">
        <v>50</v>
      </c>
      <c r="L94" s="16" t="s">
        <v>50</v>
      </c>
      <c r="M94" s="16" t="s">
        <v>50</v>
      </c>
      <c r="N94" s="16" t="s">
        <v>50</v>
      </c>
      <c r="O94" s="16" t="s">
        <v>50</v>
      </c>
      <c r="P94" s="16" t="s">
        <v>50</v>
      </c>
      <c r="Q94" s="16" t="s">
        <v>50</v>
      </c>
      <c r="R94" s="16" t="s">
        <v>50</v>
      </c>
      <c r="S94" s="16" t="s">
        <v>50</v>
      </c>
      <c r="T94" s="16" t="s">
        <v>50</v>
      </c>
      <c r="U94" s="16" t="s">
        <v>50</v>
      </c>
      <c r="V94" s="16" t="s">
        <v>50</v>
      </c>
      <c r="W94" s="16" t="s">
        <v>50</v>
      </c>
      <c r="X94" s="16" t="s">
        <v>50</v>
      </c>
      <c r="Y94" s="16" t="s">
        <v>50</v>
      </c>
      <c r="Z94" s="16" t="s">
        <v>50</v>
      </c>
      <c r="AA94" s="16" t="s">
        <v>50</v>
      </c>
      <c r="AB94" s="16" t="s">
        <v>50</v>
      </c>
      <c r="AC94" s="16" t="s">
        <v>50</v>
      </c>
      <c r="AD94" s="16" t="s">
        <v>50</v>
      </c>
      <c r="AE94" s="16" t="s">
        <v>50</v>
      </c>
      <c r="AF94" s="16" t="s">
        <v>50</v>
      </c>
      <c r="AG94" s="16" t="s">
        <v>50</v>
      </c>
      <c r="AH94" s="16" t="s">
        <v>50</v>
      </c>
      <c r="AI94" s="16" t="s">
        <v>50</v>
      </c>
      <c r="AJ94" s="16" t="s">
        <v>50</v>
      </c>
      <c r="AK94" s="16" t="s">
        <v>50</v>
      </c>
      <c r="AL94" s="16" t="s">
        <v>50</v>
      </c>
      <c r="AM94" s="16" t="s">
        <v>51</v>
      </c>
      <c r="AN94" s="16" t="s">
        <v>50</v>
      </c>
      <c r="AO94" s="16" t="s">
        <v>50</v>
      </c>
      <c r="AP94" s="16" t="s">
        <v>50</v>
      </c>
      <c r="AQ94" s="16" t="s">
        <v>50</v>
      </c>
      <c r="AR94" s="5">
        <f t="shared" si="8"/>
        <v>0</v>
      </c>
      <c r="AS94" s="5">
        <f t="shared" si="9"/>
        <v>3</v>
      </c>
      <c r="AT94" s="5">
        <f t="shared" si="10"/>
        <v>39</v>
      </c>
      <c r="AU94">
        <f t="shared" si="11"/>
        <v>0</v>
      </c>
      <c r="AV94">
        <f t="shared" si="12"/>
        <v>0</v>
      </c>
      <c r="AW94">
        <f t="shared" si="7"/>
        <v>42</v>
      </c>
    </row>
    <row r="95" spans="1:49" x14ac:dyDescent="0.35">
      <c r="A95" s="5" t="s">
        <v>146</v>
      </c>
      <c r="B95" s="16" t="s">
        <v>50</v>
      </c>
      <c r="C95" s="16" t="s">
        <v>50</v>
      </c>
      <c r="D95" s="16" t="s">
        <v>50</v>
      </c>
      <c r="E95" s="16" t="s">
        <v>50</v>
      </c>
      <c r="F95" s="16" t="s">
        <v>50</v>
      </c>
      <c r="G95" s="16" t="s">
        <v>50</v>
      </c>
      <c r="H95" s="16" t="s">
        <v>50</v>
      </c>
      <c r="I95" s="16" t="s">
        <v>50</v>
      </c>
      <c r="J95" s="16" t="s">
        <v>50</v>
      </c>
      <c r="K95" s="16" t="s">
        <v>50</v>
      </c>
      <c r="L95" s="16" t="s">
        <v>50</v>
      </c>
      <c r="M95" s="16" t="s">
        <v>51</v>
      </c>
      <c r="N95" s="16" t="s">
        <v>50</v>
      </c>
      <c r="O95" s="16" t="s">
        <v>50</v>
      </c>
      <c r="P95" s="16" t="s">
        <v>50</v>
      </c>
      <c r="Q95" s="16" t="s">
        <v>50</v>
      </c>
      <c r="R95" s="16" t="s">
        <v>50</v>
      </c>
      <c r="S95" s="16" t="s">
        <v>50</v>
      </c>
      <c r="T95" s="16" t="s">
        <v>50</v>
      </c>
      <c r="U95" s="16" t="s">
        <v>50</v>
      </c>
      <c r="V95" s="16" t="s">
        <v>50</v>
      </c>
      <c r="W95" s="16" t="s">
        <v>50</v>
      </c>
      <c r="X95" s="16" t="s">
        <v>50</v>
      </c>
      <c r="Y95" s="16" t="s">
        <v>50</v>
      </c>
      <c r="Z95" s="16" t="s">
        <v>50</v>
      </c>
      <c r="AA95" s="16" t="s">
        <v>50</v>
      </c>
      <c r="AB95" s="16" t="s">
        <v>50</v>
      </c>
      <c r="AC95" s="16" t="s">
        <v>50</v>
      </c>
      <c r="AD95" s="16" t="s">
        <v>50</v>
      </c>
      <c r="AE95" s="16" t="s">
        <v>50</v>
      </c>
      <c r="AF95" s="16" t="s">
        <v>50</v>
      </c>
      <c r="AG95" s="16" t="s">
        <v>50</v>
      </c>
      <c r="AH95" s="16" t="s">
        <v>50</v>
      </c>
      <c r="AI95" s="16" t="s">
        <v>50</v>
      </c>
      <c r="AJ95" s="16" t="s">
        <v>50</v>
      </c>
      <c r="AK95" s="16" t="s">
        <v>50</v>
      </c>
      <c r="AL95" s="16" t="s">
        <v>50</v>
      </c>
      <c r="AM95" s="16" t="s">
        <v>50</v>
      </c>
      <c r="AN95" s="16" t="s">
        <v>50</v>
      </c>
      <c r="AO95" s="16" t="s">
        <v>50</v>
      </c>
      <c r="AP95" s="16" t="s">
        <v>50</v>
      </c>
      <c r="AQ95" s="16" t="s">
        <v>50</v>
      </c>
      <c r="AR95" s="5">
        <f t="shared" si="8"/>
        <v>0</v>
      </c>
      <c r="AS95" s="5">
        <f t="shared" si="9"/>
        <v>1</v>
      </c>
      <c r="AT95" s="5">
        <f t="shared" si="10"/>
        <v>41</v>
      </c>
      <c r="AU95">
        <f t="shared" si="11"/>
        <v>0</v>
      </c>
      <c r="AV95">
        <f t="shared" si="12"/>
        <v>0</v>
      </c>
      <c r="AW95">
        <f t="shared" si="7"/>
        <v>42</v>
      </c>
    </row>
    <row r="96" spans="1:49" x14ac:dyDescent="0.35">
      <c r="A96" s="5" t="s">
        <v>147</v>
      </c>
      <c r="B96" s="16" t="s">
        <v>50</v>
      </c>
      <c r="C96" s="16" t="s">
        <v>50</v>
      </c>
      <c r="D96" s="16" t="s">
        <v>50</v>
      </c>
      <c r="E96" s="16" t="s">
        <v>50</v>
      </c>
      <c r="F96" s="16" t="s">
        <v>50</v>
      </c>
      <c r="G96" s="16" t="s">
        <v>50</v>
      </c>
      <c r="H96" s="16" t="s">
        <v>50</v>
      </c>
      <c r="I96" s="27" t="s">
        <v>53</v>
      </c>
      <c r="J96" s="16" t="s">
        <v>51</v>
      </c>
      <c r="K96" s="16" t="s">
        <v>50</v>
      </c>
      <c r="L96" s="16" t="s">
        <v>50</v>
      </c>
      <c r="M96" s="16" t="s">
        <v>50</v>
      </c>
      <c r="N96" s="16" t="s">
        <v>50</v>
      </c>
      <c r="O96" s="16" t="s">
        <v>50</v>
      </c>
      <c r="P96" s="16" t="s">
        <v>50</v>
      </c>
      <c r="Q96" s="16" t="s">
        <v>50</v>
      </c>
      <c r="R96" s="16" t="s">
        <v>50</v>
      </c>
      <c r="S96" s="16" t="s">
        <v>50</v>
      </c>
      <c r="T96" s="16" t="s">
        <v>50</v>
      </c>
      <c r="U96" s="16" t="s">
        <v>50</v>
      </c>
      <c r="V96" s="16" t="s">
        <v>50</v>
      </c>
      <c r="W96" s="16" t="s">
        <v>50</v>
      </c>
      <c r="X96" s="16" t="s">
        <v>50</v>
      </c>
      <c r="Y96" s="16" t="s">
        <v>50</v>
      </c>
      <c r="Z96" s="16" t="s">
        <v>50</v>
      </c>
      <c r="AA96" s="16" t="s">
        <v>51</v>
      </c>
      <c r="AB96" s="16" t="s">
        <v>50</v>
      </c>
      <c r="AC96" s="16" t="s">
        <v>50</v>
      </c>
      <c r="AD96" s="16" t="s">
        <v>50</v>
      </c>
      <c r="AE96" s="16" t="s">
        <v>50</v>
      </c>
      <c r="AF96" s="16" t="s">
        <v>50</v>
      </c>
      <c r="AG96" s="16" t="s">
        <v>50</v>
      </c>
      <c r="AH96" s="16" t="s">
        <v>50</v>
      </c>
      <c r="AI96" s="16" t="s">
        <v>50</v>
      </c>
      <c r="AJ96" s="16" t="s">
        <v>50</v>
      </c>
      <c r="AK96" s="16" t="s">
        <v>50</v>
      </c>
      <c r="AL96" s="16" t="s">
        <v>50</v>
      </c>
      <c r="AM96" s="16" t="s">
        <v>50</v>
      </c>
      <c r="AN96" s="16" t="s">
        <v>50</v>
      </c>
      <c r="AO96" s="16" t="s">
        <v>50</v>
      </c>
      <c r="AP96" s="16" t="s">
        <v>50</v>
      </c>
      <c r="AQ96" s="16" t="s">
        <v>50</v>
      </c>
      <c r="AR96" s="5">
        <f t="shared" si="8"/>
        <v>1</v>
      </c>
      <c r="AS96" s="5">
        <f t="shared" si="9"/>
        <v>2</v>
      </c>
      <c r="AT96" s="5">
        <f t="shared" si="10"/>
        <v>39</v>
      </c>
      <c r="AU96">
        <f t="shared" si="11"/>
        <v>0</v>
      </c>
      <c r="AV96">
        <f t="shared" si="12"/>
        <v>0</v>
      </c>
      <c r="AW96">
        <f t="shared" si="7"/>
        <v>42</v>
      </c>
    </row>
    <row r="97" spans="1:49" x14ac:dyDescent="0.35">
      <c r="A97" s="5" t="s">
        <v>148</v>
      </c>
      <c r="B97" s="16" t="s">
        <v>51</v>
      </c>
      <c r="C97" s="16" t="s">
        <v>50</v>
      </c>
      <c r="D97" s="16" t="s">
        <v>50</v>
      </c>
      <c r="E97" s="16" t="s">
        <v>50</v>
      </c>
      <c r="F97" s="16" t="s">
        <v>50</v>
      </c>
      <c r="G97" s="16" t="s">
        <v>50</v>
      </c>
      <c r="H97" s="16" t="s">
        <v>50</v>
      </c>
      <c r="I97" s="27" t="s">
        <v>53</v>
      </c>
      <c r="J97" s="16" t="s">
        <v>50</v>
      </c>
      <c r="K97" s="16" t="s">
        <v>50</v>
      </c>
      <c r="L97" s="16" t="s">
        <v>50</v>
      </c>
      <c r="M97" s="16" t="s">
        <v>50</v>
      </c>
      <c r="N97" s="16" t="s">
        <v>50</v>
      </c>
      <c r="O97" s="18" t="s">
        <v>53</v>
      </c>
      <c r="P97" s="16" t="s">
        <v>50</v>
      </c>
      <c r="Q97" s="16" t="s">
        <v>50</v>
      </c>
      <c r="R97" s="16" t="s">
        <v>50</v>
      </c>
      <c r="S97" s="18" t="s">
        <v>53</v>
      </c>
      <c r="T97" s="26" t="s">
        <v>51</v>
      </c>
      <c r="U97" s="16" t="s">
        <v>50</v>
      </c>
      <c r="V97" s="16" t="s">
        <v>50</v>
      </c>
      <c r="W97" s="16" t="s">
        <v>50</v>
      </c>
      <c r="X97" s="16" t="s">
        <v>50</v>
      </c>
      <c r="Y97" s="16" t="s">
        <v>50</v>
      </c>
      <c r="Z97" s="16" t="s">
        <v>50</v>
      </c>
      <c r="AA97" s="28" t="s">
        <v>50</v>
      </c>
      <c r="AB97" s="16" t="s">
        <v>50</v>
      </c>
      <c r="AC97" s="16" t="s">
        <v>51</v>
      </c>
      <c r="AD97" s="21" t="s">
        <v>50</v>
      </c>
      <c r="AE97" s="16" t="s">
        <v>50</v>
      </c>
      <c r="AF97" s="16" t="s">
        <v>50</v>
      </c>
      <c r="AG97" s="34" t="s">
        <v>50</v>
      </c>
      <c r="AH97" s="16" t="s">
        <v>50</v>
      </c>
      <c r="AI97" s="16" t="s">
        <v>50</v>
      </c>
      <c r="AJ97" s="16" t="s">
        <v>50</v>
      </c>
      <c r="AK97" s="16" t="s">
        <v>50</v>
      </c>
      <c r="AL97" s="16" t="s">
        <v>50</v>
      </c>
      <c r="AM97" s="16" t="s">
        <v>50</v>
      </c>
      <c r="AN97" s="16" t="s">
        <v>50</v>
      </c>
      <c r="AO97" s="18" t="s">
        <v>53</v>
      </c>
      <c r="AP97" s="26" t="s">
        <v>51</v>
      </c>
      <c r="AQ97" s="16" t="s">
        <v>50</v>
      </c>
      <c r="AR97" s="5">
        <f t="shared" si="8"/>
        <v>4</v>
      </c>
      <c r="AS97" s="5">
        <f t="shared" si="9"/>
        <v>4</v>
      </c>
      <c r="AT97" s="5">
        <f t="shared" si="10"/>
        <v>34</v>
      </c>
      <c r="AU97">
        <f t="shared" si="11"/>
        <v>0</v>
      </c>
      <c r="AV97">
        <f t="shared" si="12"/>
        <v>0</v>
      </c>
      <c r="AW97">
        <f t="shared" si="7"/>
        <v>42</v>
      </c>
    </row>
    <row r="98" spans="1:49" x14ac:dyDescent="0.35">
      <c r="A98" s="5" t="s">
        <v>149</v>
      </c>
      <c r="B98" s="16" t="s">
        <v>50</v>
      </c>
      <c r="C98" s="16" t="s">
        <v>50</v>
      </c>
      <c r="D98" s="26" t="s">
        <v>51</v>
      </c>
      <c r="E98" s="16" t="s">
        <v>50</v>
      </c>
      <c r="F98" s="16" t="s">
        <v>50</v>
      </c>
      <c r="G98" s="16" t="s">
        <v>50</v>
      </c>
      <c r="H98" s="16" t="s">
        <v>50</v>
      </c>
      <c r="I98" s="16" t="s">
        <v>50</v>
      </c>
      <c r="J98" s="26" t="s">
        <v>51</v>
      </c>
      <c r="K98" s="16" t="s">
        <v>51</v>
      </c>
      <c r="L98" s="16" t="s">
        <v>50</v>
      </c>
      <c r="M98" s="16" t="s">
        <v>50</v>
      </c>
      <c r="N98" s="16" t="s">
        <v>50</v>
      </c>
      <c r="O98" s="26" t="s">
        <v>51</v>
      </c>
      <c r="P98" s="16" t="s">
        <v>50</v>
      </c>
      <c r="Q98" s="26" t="s">
        <v>51</v>
      </c>
      <c r="R98" s="16" t="s">
        <v>50</v>
      </c>
      <c r="S98" s="16" t="s">
        <v>50</v>
      </c>
      <c r="T98" s="16" t="s">
        <v>50</v>
      </c>
      <c r="U98" s="26" t="s">
        <v>51</v>
      </c>
      <c r="V98" s="16" t="s">
        <v>50</v>
      </c>
      <c r="W98" s="16" t="s">
        <v>50</v>
      </c>
      <c r="X98" s="16" t="s">
        <v>50</v>
      </c>
      <c r="Y98" s="27" t="s">
        <v>53</v>
      </c>
      <c r="Z98" s="16" t="s">
        <v>51</v>
      </c>
      <c r="AA98" s="16" t="s">
        <v>51</v>
      </c>
      <c r="AB98" s="16" t="s">
        <v>50</v>
      </c>
      <c r="AC98" s="16" t="s">
        <v>50</v>
      </c>
      <c r="AD98" s="16" t="s">
        <v>50</v>
      </c>
      <c r="AE98" s="16" t="s">
        <v>50</v>
      </c>
      <c r="AF98" s="16" t="s">
        <v>50</v>
      </c>
      <c r="AG98" s="16" t="s">
        <v>51</v>
      </c>
      <c r="AH98" s="16" t="s">
        <v>50</v>
      </c>
      <c r="AI98" s="16" t="s">
        <v>50</v>
      </c>
      <c r="AJ98" s="16" t="s">
        <v>50</v>
      </c>
      <c r="AK98" s="16" t="s">
        <v>50</v>
      </c>
      <c r="AL98" s="16" t="s">
        <v>50</v>
      </c>
      <c r="AM98" s="16" t="s">
        <v>50</v>
      </c>
      <c r="AN98" s="16" t="s">
        <v>50</v>
      </c>
      <c r="AO98" s="16" t="s">
        <v>50</v>
      </c>
      <c r="AP98" s="16" t="s">
        <v>50</v>
      </c>
      <c r="AQ98" s="26" t="s">
        <v>51</v>
      </c>
      <c r="AR98" s="5">
        <f t="shared" si="8"/>
        <v>1</v>
      </c>
      <c r="AS98" s="5">
        <f t="shared" si="9"/>
        <v>10</v>
      </c>
      <c r="AT98" s="5">
        <f t="shared" si="10"/>
        <v>31</v>
      </c>
      <c r="AU98">
        <f t="shared" si="11"/>
        <v>0</v>
      </c>
      <c r="AV98">
        <f t="shared" si="12"/>
        <v>0</v>
      </c>
      <c r="AW98">
        <f t="shared" si="7"/>
        <v>42</v>
      </c>
    </row>
    <row r="99" spans="1:49" ht="29" x14ac:dyDescent="0.35">
      <c r="A99" s="7" t="s">
        <v>150</v>
      </c>
      <c r="B99" s="18" t="s">
        <v>53</v>
      </c>
      <c r="C99" s="31" t="s">
        <v>53</v>
      </c>
      <c r="D99" s="18" t="s">
        <v>53</v>
      </c>
      <c r="E99" s="16" t="s">
        <v>51</v>
      </c>
      <c r="F99" s="18" t="s">
        <v>53</v>
      </c>
      <c r="G99" s="31" t="s">
        <v>53</v>
      </c>
      <c r="H99" s="26" t="s">
        <v>51</v>
      </c>
      <c r="I99" s="18" t="s">
        <v>53</v>
      </c>
      <c r="J99" s="27" t="s">
        <v>53</v>
      </c>
      <c r="K99" s="16" t="s">
        <v>51</v>
      </c>
      <c r="L99" s="18" t="s">
        <v>53</v>
      </c>
      <c r="M99" s="18" t="s">
        <v>53</v>
      </c>
      <c r="N99" s="18" t="s">
        <v>53</v>
      </c>
      <c r="O99" s="18" t="s">
        <v>53</v>
      </c>
      <c r="P99" s="16" t="s">
        <v>51</v>
      </c>
      <c r="Q99" s="26" t="s">
        <v>51</v>
      </c>
      <c r="R99" s="18" t="s">
        <v>53</v>
      </c>
      <c r="S99" s="18" t="s">
        <v>53</v>
      </c>
      <c r="T99" s="18" t="s">
        <v>53</v>
      </c>
      <c r="U99" s="18" t="s">
        <v>53</v>
      </c>
      <c r="V99" s="18" t="s">
        <v>53</v>
      </c>
      <c r="W99" s="18" t="s">
        <v>53</v>
      </c>
      <c r="X99" s="18" t="s">
        <v>53</v>
      </c>
      <c r="Y99" s="18" t="s">
        <v>53</v>
      </c>
      <c r="Z99" s="18" t="s">
        <v>53</v>
      </c>
      <c r="AA99" s="18" t="s">
        <v>53</v>
      </c>
      <c r="AB99" s="18" t="s">
        <v>53</v>
      </c>
      <c r="AC99" s="18" t="s">
        <v>53</v>
      </c>
      <c r="AD99" s="25" t="s">
        <v>53</v>
      </c>
      <c r="AE99" s="18" t="s">
        <v>53</v>
      </c>
      <c r="AF99" s="18" t="s">
        <v>53</v>
      </c>
      <c r="AG99" s="18" t="s">
        <v>53</v>
      </c>
      <c r="AH99" s="31" t="s">
        <v>53</v>
      </c>
      <c r="AI99" s="18" t="s">
        <v>53</v>
      </c>
      <c r="AJ99" s="18" t="s">
        <v>53</v>
      </c>
      <c r="AK99" s="18" t="s">
        <v>53</v>
      </c>
      <c r="AL99" s="31" t="s">
        <v>53</v>
      </c>
      <c r="AM99" s="18" t="s">
        <v>53</v>
      </c>
      <c r="AN99" s="18" t="s">
        <v>53</v>
      </c>
      <c r="AO99" s="18" t="s">
        <v>53</v>
      </c>
      <c r="AP99" s="18" t="s">
        <v>53</v>
      </c>
      <c r="AQ99" s="26" t="s">
        <v>51</v>
      </c>
      <c r="AR99" s="5">
        <f t="shared" si="8"/>
        <v>36</v>
      </c>
      <c r="AS99" s="5">
        <f t="shared" si="9"/>
        <v>6</v>
      </c>
      <c r="AT99" s="5">
        <f t="shared" si="10"/>
        <v>0</v>
      </c>
      <c r="AU99">
        <f t="shared" si="11"/>
        <v>0</v>
      </c>
      <c r="AV99">
        <f t="shared" si="12"/>
        <v>0</v>
      </c>
      <c r="AW99">
        <f t="shared" si="7"/>
        <v>42</v>
      </c>
    </row>
    <row r="100" spans="1:49" x14ac:dyDescent="0.35">
      <c r="A100" s="5" t="s">
        <v>151</v>
      </c>
      <c r="B100" s="16" t="s">
        <v>50</v>
      </c>
      <c r="C100" s="16" t="s">
        <v>50</v>
      </c>
      <c r="D100" s="16" t="s">
        <v>50</v>
      </c>
      <c r="E100" s="16" t="s">
        <v>50</v>
      </c>
      <c r="F100" s="16" t="s">
        <v>50</v>
      </c>
      <c r="G100" s="16" t="s">
        <v>50</v>
      </c>
      <c r="H100" s="18" t="s">
        <v>53</v>
      </c>
      <c r="I100" s="16" t="s">
        <v>50</v>
      </c>
      <c r="J100" s="16" t="s">
        <v>50</v>
      </c>
      <c r="K100" s="16" t="s">
        <v>50</v>
      </c>
      <c r="L100" s="16" t="s">
        <v>50</v>
      </c>
      <c r="M100" s="16" t="s">
        <v>50</v>
      </c>
      <c r="N100" s="16" t="s">
        <v>50</v>
      </c>
      <c r="O100" s="16" t="s">
        <v>50</v>
      </c>
      <c r="P100" s="16" t="s">
        <v>50</v>
      </c>
      <c r="Q100" s="16" t="s">
        <v>50</v>
      </c>
      <c r="R100" s="16" t="s">
        <v>50</v>
      </c>
      <c r="S100" s="16" t="s">
        <v>51</v>
      </c>
      <c r="T100" s="16" t="s">
        <v>50</v>
      </c>
      <c r="U100" s="16" t="s">
        <v>50</v>
      </c>
      <c r="V100" s="16" t="s">
        <v>50</v>
      </c>
      <c r="W100" s="16" t="s">
        <v>50</v>
      </c>
      <c r="X100" s="16" t="s">
        <v>50</v>
      </c>
      <c r="Y100" s="18" t="s">
        <v>53</v>
      </c>
      <c r="Z100" s="16" t="s">
        <v>51</v>
      </c>
      <c r="AA100" s="16" t="s">
        <v>50</v>
      </c>
      <c r="AB100" s="16" t="s">
        <v>50</v>
      </c>
      <c r="AC100" s="16" t="s">
        <v>50</v>
      </c>
      <c r="AD100" s="16" t="s">
        <v>50</v>
      </c>
      <c r="AE100" s="16" t="s">
        <v>50</v>
      </c>
      <c r="AF100" s="16" t="s">
        <v>50</v>
      </c>
      <c r="AG100" s="16" t="s">
        <v>50</v>
      </c>
      <c r="AH100" s="16" t="s">
        <v>50</v>
      </c>
      <c r="AI100" s="16" t="s">
        <v>50</v>
      </c>
      <c r="AJ100" s="16" t="s">
        <v>50</v>
      </c>
      <c r="AK100" s="16" t="s">
        <v>50</v>
      </c>
      <c r="AL100" s="16" t="s">
        <v>50</v>
      </c>
      <c r="AM100" s="16" t="s">
        <v>50</v>
      </c>
      <c r="AN100" s="16" t="s">
        <v>50</v>
      </c>
      <c r="AO100" s="16" t="s">
        <v>50</v>
      </c>
      <c r="AP100" s="16" t="s">
        <v>50</v>
      </c>
      <c r="AQ100" s="16" t="s">
        <v>50</v>
      </c>
      <c r="AR100" s="5">
        <f t="shared" si="8"/>
        <v>2</v>
      </c>
      <c r="AS100" s="5">
        <f t="shared" si="9"/>
        <v>2</v>
      </c>
      <c r="AT100" s="5">
        <f t="shared" si="10"/>
        <v>38</v>
      </c>
      <c r="AU100">
        <f t="shared" si="11"/>
        <v>0</v>
      </c>
      <c r="AV100">
        <f t="shared" si="12"/>
        <v>0</v>
      </c>
      <c r="AW100">
        <f t="shared" si="7"/>
        <v>42</v>
      </c>
    </row>
    <row r="101" spans="1:49" x14ac:dyDescent="0.35">
      <c r="A101" s="5" t="s">
        <v>152</v>
      </c>
      <c r="B101" s="16" t="s">
        <v>50</v>
      </c>
      <c r="C101" s="16" t="s">
        <v>50</v>
      </c>
      <c r="D101" s="16" t="s">
        <v>50</v>
      </c>
      <c r="E101" s="16" t="s">
        <v>50</v>
      </c>
      <c r="F101" s="16" t="s">
        <v>50</v>
      </c>
      <c r="G101" s="16" t="s">
        <v>50</v>
      </c>
      <c r="H101" s="16" t="s">
        <v>50</v>
      </c>
      <c r="I101" s="16" t="s">
        <v>50</v>
      </c>
      <c r="J101" s="16" t="s">
        <v>51</v>
      </c>
      <c r="K101" s="16" t="s">
        <v>50</v>
      </c>
      <c r="L101" s="16" t="s">
        <v>50</v>
      </c>
      <c r="M101" s="16" t="s">
        <v>50</v>
      </c>
      <c r="N101" s="16" t="s">
        <v>50</v>
      </c>
      <c r="O101" s="16" t="s">
        <v>50</v>
      </c>
      <c r="P101" s="16" t="s">
        <v>50</v>
      </c>
      <c r="Q101" s="16" t="s">
        <v>50</v>
      </c>
      <c r="R101" s="16" t="s">
        <v>50</v>
      </c>
      <c r="S101" s="16" t="s">
        <v>50</v>
      </c>
      <c r="T101" s="16" t="s">
        <v>50</v>
      </c>
      <c r="U101" s="16" t="s">
        <v>50</v>
      </c>
      <c r="V101" s="16" t="s">
        <v>50</v>
      </c>
      <c r="W101" s="16" t="s">
        <v>50</v>
      </c>
      <c r="X101" s="16" t="s">
        <v>50</v>
      </c>
      <c r="Y101" s="16" t="s">
        <v>50</v>
      </c>
      <c r="Z101" s="16" t="s">
        <v>50</v>
      </c>
      <c r="AA101" s="16" t="s">
        <v>50</v>
      </c>
      <c r="AB101" s="16" t="s">
        <v>50</v>
      </c>
      <c r="AC101" s="16" t="s">
        <v>50</v>
      </c>
      <c r="AD101" s="16" t="s">
        <v>50</v>
      </c>
      <c r="AE101" s="16" t="s">
        <v>50</v>
      </c>
      <c r="AF101" s="16" t="s">
        <v>50</v>
      </c>
      <c r="AG101" s="16" t="s">
        <v>50</v>
      </c>
      <c r="AH101" s="16" t="s">
        <v>50</v>
      </c>
      <c r="AI101" s="16" t="s">
        <v>50</v>
      </c>
      <c r="AJ101" s="16" t="s">
        <v>50</v>
      </c>
      <c r="AK101" s="16" t="s">
        <v>50</v>
      </c>
      <c r="AL101" s="16" t="s">
        <v>50</v>
      </c>
      <c r="AM101" s="16" t="s">
        <v>50</v>
      </c>
      <c r="AN101" s="16" t="s">
        <v>50</v>
      </c>
      <c r="AO101" s="16" t="s">
        <v>50</v>
      </c>
      <c r="AP101" s="16" t="s">
        <v>50</v>
      </c>
      <c r="AQ101" s="27" t="s">
        <v>53</v>
      </c>
      <c r="AR101" s="5">
        <f t="shared" si="8"/>
        <v>1</v>
      </c>
      <c r="AS101" s="5">
        <f t="shared" si="9"/>
        <v>1</v>
      </c>
      <c r="AT101" s="5">
        <f t="shared" si="10"/>
        <v>40</v>
      </c>
      <c r="AU101">
        <f t="shared" si="11"/>
        <v>0</v>
      </c>
      <c r="AV101">
        <f t="shared" si="12"/>
        <v>0</v>
      </c>
      <c r="AW101">
        <f t="shared" si="7"/>
        <v>42</v>
      </c>
    </row>
    <row r="102" spans="1:49" x14ac:dyDescent="0.35">
      <c r="A102" s="5" t="s">
        <v>153</v>
      </c>
      <c r="B102" s="18" t="s">
        <v>53</v>
      </c>
      <c r="C102" s="31" t="s">
        <v>53</v>
      </c>
      <c r="D102" s="18" t="s">
        <v>53</v>
      </c>
      <c r="E102" s="18" t="s">
        <v>53</v>
      </c>
      <c r="F102" s="35" t="s">
        <v>50</v>
      </c>
      <c r="G102" s="18" t="s">
        <v>53</v>
      </c>
      <c r="H102" s="18" t="s">
        <v>53</v>
      </c>
      <c r="I102" s="18" t="s">
        <v>53</v>
      </c>
      <c r="J102" s="18" t="s">
        <v>53</v>
      </c>
      <c r="K102" s="18" t="s">
        <v>53</v>
      </c>
      <c r="L102" s="18" t="s">
        <v>53</v>
      </c>
      <c r="M102" s="18" t="s">
        <v>53</v>
      </c>
      <c r="N102" s="18" t="s">
        <v>53</v>
      </c>
      <c r="O102" s="18" t="s">
        <v>53</v>
      </c>
      <c r="P102" s="18" t="s">
        <v>53</v>
      </c>
      <c r="Q102" s="31" t="s">
        <v>53</v>
      </c>
      <c r="R102" s="16" t="s">
        <v>50</v>
      </c>
      <c r="S102" s="18" t="s">
        <v>53</v>
      </c>
      <c r="T102" s="18" t="s">
        <v>53</v>
      </c>
      <c r="U102" s="31" t="s">
        <v>53</v>
      </c>
      <c r="V102" s="18" t="s">
        <v>53</v>
      </c>
      <c r="W102" s="18" t="s">
        <v>53</v>
      </c>
      <c r="X102" s="16" t="s">
        <v>50</v>
      </c>
      <c r="Y102" s="16" t="s">
        <v>50</v>
      </c>
      <c r="Z102" s="18" t="s">
        <v>53</v>
      </c>
      <c r="AA102" s="18" t="s">
        <v>53</v>
      </c>
      <c r="AB102" s="18" t="s">
        <v>53</v>
      </c>
      <c r="AC102" s="31" t="s">
        <v>53</v>
      </c>
      <c r="AD102" s="25" t="s">
        <v>53</v>
      </c>
      <c r="AE102" s="18" t="s">
        <v>53</v>
      </c>
      <c r="AF102" s="18" t="s">
        <v>53</v>
      </c>
      <c r="AG102" s="16" t="s">
        <v>50</v>
      </c>
      <c r="AH102" s="16" t="s">
        <v>50</v>
      </c>
      <c r="AI102" s="18" t="s">
        <v>53</v>
      </c>
      <c r="AJ102" s="18" t="s">
        <v>53</v>
      </c>
      <c r="AK102" s="26" t="s">
        <v>51</v>
      </c>
      <c r="AL102" s="16" t="s">
        <v>50</v>
      </c>
      <c r="AM102" s="16" t="s">
        <v>50</v>
      </c>
      <c r="AN102" s="18" t="s">
        <v>53</v>
      </c>
      <c r="AO102" s="18" t="s">
        <v>53</v>
      </c>
      <c r="AP102" s="18" t="s">
        <v>53</v>
      </c>
      <c r="AQ102" s="18" t="s">
        <v>53</v>
      </c>
      <c r="AR102" s="5">
        <f t="shared" si="8"/>
        <v>33</v>
      </c>
      <c r="AS102" s="5">
        <f t="shared" si="9"/>
        <v>1</v>
      </c>
      <c r="AT102" s="5">
        <f t="shared" si="10"/>
        <v>8</v>
      </c>
      <c r="AU102">
        <f t="shared" si="11"/>
        <v>0</v>
      </c>
      <c r="AV102">
        <f t="shared" si="12"/>
        <v>0</v>
      </c>
      <c r="AW102">
        <f t="shared" si="7"/>
        <v>42</v>
      </c>
    </row>
    <row r="103" spans="1:49" x14ac:dyDescent="0.35">
      <c r="A103" s="5" t="s">
        <v>154</v>
      </c>
      <c r="B103" s="18" t="s">
        <v>53</v>
      </c>
      <c r="C103" s="18" t="s">
        <v>53</v>
      </c>
      <c r="D103" s="18" t="s">
        <v>53</v>
      </c>
      <c r="E103" s="18" t="s">
        <v>53</v>
      </c>
      <c r="F103" s="16" t="s">
        <v>50</v>
      </c>
      <c r="G103" s="18" t="s">
        <v>53</v>
      </c>
      <c r="H103" s="18" t="s">
        <v>53</v>
      </c>
      <c r="I103" s="26" t="s">
        <v>51</v>
      </c>
      <c r="J103" s="18" t="s">
        <v>53</v>
      </c>
      <c r="K103" s="18" t="s">
        <v>53</v>
      </c>
      <c r="L103" s="18" t="s">
        <v>53</v>
      </c>
      <c r="M103" s="18" t="s">
        <v>53</v>
      </c>
      <c r="N103" s="18" t="s">
        <v>53</v>
      </c>
      <c r="O103" s="18" t="s">
        <v>53</v>
      </c>
      <c r="P103" s="18" t="s">
        <v>53</v>
      </c>
      <c r="Q103" s="18" t="s">
        <v>53</v>
      </c>
      <c r="R103" s="18" t="s">
        <v>53</v>
      </c>
      <c r="S103" s="16" t="s">
        <v>50</v>
      </c>
      <c r="T103" s="27" t="s">
        <v>53</v>
      </c>
      <c r="U103" s="18" t="s">
        <v>53</v>
      </c>
      <c r="V103" s="18" t="s">
        <v>53</v>
      </c>
      <c r="W103" s="18" t="s">
        <v>53</v>
      </c>
      <c r="X103" s="16" t="s">
        <v>50</v>
      </c>
      <c r="Y103" s="16" t="s">
        <v>50</v>
      </c>
      <c r="Z103" s="16" t="s">
        <v>50</v>
      </c>
      <c r="AA103" s="18" t="s">
        <v>53</v>
      </c>
      <c r="AB103" s="18" t="s">
        <v>53</v>
      </c>
      <c r="AC103" s="18" t="s">
        <v>53</v>
      </c>
      <c r="AD103" s="25" t="s">
        <v>53</v>
      </c>
      <c r="AE103" s="18" t="s">
        <v>53</v>
      </c>
      <c r="AF103" s="18" t="s">
        <v>53</v>
      </c>
      <c r="AG103" s="18" t="s">
        <v>53</v>
      </c>
      <c r="AH103" s="16" t="s">
        <v>50</v>
      </c>
      <c r="AI103" s="18" t="s">
        <v>53</v>
      </c>
      <c r="AJ103" s="18" t="s">
        <v>53</v>
      </c>
      <c r="AK103" s="18" t="s">
        <v>53</v>
      </c>
      <c r="AL103" s="16" t="s">
        <v>50</v>
      </c>
      <c r="AM103" s="18" t="s">
        <v>53</v>
      </c>
      <c r="AN103" s="18" t="s">
        <v>53</v>
      </c>
      <c r="AO103" s="18" t="s">
        <v>53</v>
      </c>
      <c r="AP103" s="16" t="s">
        <v>50</v>
      </c>
      <c r="AQ103" s="18" t="s">
        <v>53</v>
      </c>
      <c r="AR103" s="5">
        <f t="shared" si="8"/>
        <v>33</v>
      </c>
      <c r="AS103" s="5">
        <f t="shared" si="9"/>
        <v>1</v>
      </c>
      <c r="AT103" s="5">
        <f t="shared" si="10"/>
        <v>8</v>
      </c>
      <c r="AU103">
        <f t="shared" si="11"/>
        <v>0</v>
      </c>
      <c r="AV103">
        <f t="shared" si="12"/>
        <v>0</v>
      </c>
      <c r="AW103">
        <f t="shared" si="7"/>
        <v>42</v>
      </c>
    </row>
    <row r="104" spans="1:49" x14ac:dyDescent="0.35">
      <c r="A104" s="5" t="s">
        <v>155</v>
      </c>
      <c r="B104" s="16" t="s">
        <v>50</v>
      </c>
      <c r="C104" s="16" t="s">
        <v>50</v>
      </c>
      <c r="D104" s="16" t="s">
        <v>50</v>
      </c>
      <c r="E104" s="16" t="s">
        <v>50</v>
      </c>
      <c r="F104" s="16" t="s">
        <v>50</v>
      </c>
      <c r="G104" s="16" t="s">
        <v>50</v>
      </c>
      <c r="H104" s="16" t="s">
        <v>50</v>
      </c>
      <c r="I104" s="16" t="s">
        <v>50</v>
      </c>
      <c r="J104" s="16" t="s">
        <v>50</v>
      </c>
      <c r="K104" s="16" t="s">
        <v>50</v>
      </c>
      <c r="L104" s="16" t="s">
        <v>50</v>
      </c>
      <c r="M104" s="16" t="s">
        <v>50</v>
      </c>
      <c r="N104" s="16" t="s">
        <v>50</v>
      </c>
      <c r="O104" s="16" t="s">
        <v>50</v>
      </c>
      <c r="P104" s="16" t="s">
        <v>50</v>
      </c>
      <c r="Q104" s="16" t="s">
        <v>50</v>
      </c>
      <c r="R104" s="18" t="s">
        <v>53</v>
      </c>
      <c r="S104" s="16" t="s">
        <v>50</v>
      </c>
      <c r="T104" s="16" t="s">
        <v>50</v>
      </c>
      <c r="U104" s="27" t="s">
        <v>53</v>
      </c>
      <c r="V104" s="16" t="s">
        <v>50</v>
      </c>
      <c r="W104" s="16" t="s">
        <v>51</v>
      </c>
      <c r="X104" s="16" t="s">
        <v>50</v>
      </c>
      <c r="Y104" s="16" t="s">
        <v>50</v>
      </c>
      <c r="Z104" s="16" t="s">
        <v>50</v>
      </c>
      <c r="AA104" s="18" t="s">
        <v>53</v>
      </c>
      <c r="AB104" s="16" t="s">
        <v>50</v>
      </c>
      <c r="AC104" s="16" t="s">
        <v>50</v>
      </c>
      <c r="AD104" s="21" t="s">
        <v>50</v>
      </c>
      <c r="AE104" s="16" t="s">
        <v>50</v>
      </c>
      <c r="AF104" s="16" t="s">
        <v>50</v>
      </c>
      <c r="AG104" s="16" t="s">
        <v>50</v>
      </c>
      <c r="AH104" s="16" t="s">
        <v>50</v>
      </c>
      <c r="AI104" s="16" t="s">
        <v>50</v>
      </c>
      <c r="AJ104" s="16" t="s">
        <v>50</v>
      </c>
      <c r="AK104" s="16" t="s">
        <v>50</v>
      </c>
      <c r="AL104" s="16" t="s">
        <v>50</v>
      </c>
      <c r="AM104" s="16" t="s">
        <v>50</v>
      </c>
      <c r="AN104" s="16" t="s">
        <v>50</v>
      </c>
      <c r="AO104" s="16" t="s">
        <v>50</v>
      </c>
      <c r="AP104" s="16" t="s">
        <v>50</v>
      </c>
      <c r="AQ104" s="16" t="s">
        <v>50</v>
      </c>
      <c r="AR104" s="5">
        <f t="shared" si="8"/>
        <v>3</v>
      </c>
      <c r="AS104" s="5">
        <f t="shared" si="9"/>
        <v>1</v>
      </c>
      <c r="AT104" s="5">
        <f t="shared" si="10"/>
        <v>38</v>
      </c>
      <c r="AU104">
        <f t="shared" si="11"/>
        <v>0</v>
      </c>
      <c r="AV104">
        <f t="shared" si="12"/>
        <v>0</v>
      </c>
      <c r="AW104">
        <f t="shared" si="7"/>
        <v>42</v>
      </c>
    </row>
    <row r="105" spans="1:49" x14ac:dyDescent="0.35">
      <c r="A105" s="5" t="s">
        <v>156</v>
      </c>
      <c r="B105" s="16" t="s">
        <v>50</v>
      </c>
      <c r="C105" s="16" t="s">
        <v>50</v>
      </c>
      <c r="D105" s="16" t="s">
        <v>50</v>
      </c>
      <c r="E105" s="16" t="s">
        <v>50</v>
      </c>
      <c r="F105" s="16" t="s">
        <v>50</v>
      </c>
      <c r="G105" s="16" t="s">
        <v>50</v>
      </c>
      <c r="H105" s="16" t="s">
        <v>50</v>
      </c>
      <c r="I105" s="16" t="s">
        <v>50</v>
      </c>
      <c r="J105" s="16" t="s">
        <v>50</v>
      </c>
      <c r="K105" s="16" t="s">
        <v>50</v>
      </c>
      <c r="L105" s="16" t="s">
        <v>50</v>
      </c>
      <c r="M105" s="16" t="s">
        <v>50</v>
      </c>
      <c r="N105" s="16" t="s">
        <v>50</v>
      </c>
      <c r="O105" s="16" t="s">
        <v>50</v>
      </c>
      <c r="P105" s="16" t="s">
        <v>50</v>
      </c>
      <c r="Q105" s="16" t="s">
        <v>50</v>
      </c>
      <c r="R105" s="16" t="s">
        <v>50</v>
      </c>
      <c r="S105" s="16" t="s">
        <v>50</v>
      </c>
      <c r="T105" s="16" t="s">
        <v>50</v>
      </c>
      <c r="U105" s="16" t="s">
        <v>50</v>
      </c>
      <c r="V105" s="16" t="s">
        <v>50</v>
      </c>
      <c r="W105" s="16" t="s">
        <v>50</v>
      </c>
      <c r="X105" s="16" t="s">
        <v>50</v>
      </c>
      <c r="Y105" s="16" t="s">
        <v>50</v>
      </c>
      <c r="Z105" s="16" t="s">
        <v>50</v>
      </c>
      <c r="AA105" s="16" t="s">
        <v>50</v>
      </c>
      <c r="AB105" s="16" t="s">
        <v>50</v>
      </c>
      <c r="AC105" s="16" t="s">
        <v>50</v>
      </c>
      <c r="AD105" s="18" t="s">
        <v>53</v>
      </c>
      <c r="AE105" s="16" t="s">
        <v>50</v>
      </c>
      <c r="AF105" s="16" t="s">
        <v>50</v>
      </c>
      <c r="AG105" s="16" t="s">
        <v>50</v>
      </c>
      <c r="AH105" s="16" t="s">
        <v>50</v>
      </c>
      <c r="AI105" s="16" t="s">
        <v>50</v>
      </c>
      <c r="AJ105" s="16" t="s">
        <v>50</v>
      </c>
      <c r="AK105" s="16" t="s">
        <v>50</v>
      </c>
      <c r="AL105" s="16" t="s">
        <v>50</v>
      </c>
      <c r="AM105" s="16" t="s">
        <v>50</v>
      </c>
      <c r="AN105" s="16" t="s">
        <v>50</v>
      </c>
      <c r="AO105" s="16" t="s">
        <v>50</v>
      </c>
      <c r="AP105" s="16" t="s">
        <v>50</v>
      </c>
      <c r="AQ105" s="16" t="s">
        <v>50</v>
      </c>
      <c r="AR105" s="5">
        <f t="shared" si="8"/>
        <v>1</v>
      </c>
      <c r="AS105" s="5">
        <f t="shared" si="9"/>
        <v>0</v>
      </c>
      <c r="AT105" s="5">
        <f t="shared" si="10"/>
        <v>41</v>
      </c>
      <c r="AU105">
        <f t="shared" si="11"/>
        <v>0</v>
      </c>
      <c r="AV105">
        <f t="shared" si="12"/>
        <v>0</v>
      </c>
      <c r="AW105">
        <f t="shared" si="7"/>
        <v>42</v>
      </c>
    </row>
    <row r="106" spans="1:49" x14ac:dyDescent="0.35">
      <c r="A106" s="5" t="s">
        <v>157</v>
      </c>
      <c r="B106" s="16" t="s">
        <v>50</v>
      </c>
      <c r="C106" s="16" t="s">
        <v>50</v>
      </c>
      <c r="D106" s="16" t="s">
        <v>51</v>
      </c>
      <c r="E106" s="16" t="s">
        <v>50</v>
      </c>
      <c r="F106" s="16" t="s">
        <v>50</v>
      </c>
      <c r="G106" s="16" t="s">
        <v>50</v>
      </c>
      <c r="H106" s="16" t="s">
        <v>51</v>
      </c>
      <c r="I106" s="16" t="s">
        <v>50</v>
      </c>
      <c r="J106" s="16" t="s">
        <v>50</v>
      </c>
      <c r="K106" s="16" t="s">
        <v>50</v>
      </c>
      <c r="L106" s="16" t="s">
        <v>50</v>
      </c>
      <c r="M106" s="16" t="s">
        <v>50</v>
      </c>
      <c r="N106" s="16" t="s">
        <v>50</v>
      </c>
      <c r="O106" s="16" t="s">
        <v>50</v>
      </c>
      <c r="P106" s="16" t="s">
        <v>50</v>
      </c>
      <c r="Q106" s="16" t="s">
        <v>50</v>
      </c>
      <c r="R106" s="16" t="s">
        <v>50</v>
      </c>
      <c r="S106" s="18" t="s">
        <v>53</v>
      </c>
      <c r="T106" s="16" t="s">
        <v>50</v>
      </c>
      <c r="U106" s="27" t="s">
        <v>53</v>
      </c>
      <c r="V106" s="16" t="s">
        <v>50</v>
      </c>
      <c r="W106" s="16" t="s">
        <v>50</v>
      </c>
      <c r="X106" s="16" t="s">
        <v>50</v>
      </c>
      <c r="Y106" s="16" t="s">
        <v>50</v>
      </c>
      <c r="Z106" s="16" t="s">
        <v>50</v>
      </c>
      <c r="AA106" s="16" t="s">
        <v>50</v>
      </c>
      <c r="AB106" s="16" t="s">
        <v>50</v>
      </c>
      <c r="AC106" s="34" t="s">
        <v>50</v>
      </c>
      <c r="AD106" s="16" t="s">
        <v>50</v>
      </c>
      <c r="AE106" s="16" t="s">
        <v>50</v>
      </c>
      <c r="AF106" s="16" t="s">
        <v>50</v>
      </c>
      <c r="AG106" s="16" t="s">
        <v>50</v>
      </c>
      <c r="AH106" s="16" t="s">
        <v>50</v>
      </c>
      <c r="AI106" s="16" t="s">
        <v>50</v>
      </c>
      <c r="AJ106" s="16" t="s">
        <v>50</v>
      </c>
      <c r="AK106" s="16" t="s">
        <v>50</v>
      </c>
      <c r="AL106" s="16" t="s">
        <v>50</v>
      </c>
      <c r="AM106" s="16" t="s">
        <v>50</v>
      </c>
      <c r="AN106" s="16" t="s">
        <v>50</v>
      </c>
      <c r="AO106" s="16" t="s">
        <v>50</v>
      </c>
      <c r="AP106" s="16" t="s">
        <v>50</v>
      </c>
      <c r="AQ106" s="16" t="s">
        <v>50</v>
      </c>
      <c r="AR106" s="5">
        <f t="shared" si="8"/>
        <v>2</v>
      </c>
      <c r="AS106" s="5">
        <f t="shared" si="9"/>
        <v>2</v>
      </c>
      <c r="AT106" s="5">
        <f t="shared" si="10"/>
        <v>38</v>
      </c>
      <c r="AU106">
        <f t="shared" si="11"/>
        <v>0</v>
      </c>
      <c r="AV106">
        <f t="shared" si="12"/>
        <v>0</v>
      </c>
      <c r="AW106">
        <f t="shared" si="7"/>
        <v>42</v>
      </c>
    </row>
    <row r="107" spans="1:49" x14ac:dyDescent="0.35">
      <c r="A107" s="5" t="s">
        <v>158</v>
      </c>
      <c r="B107" s="16" t="s">
        <v>50</v>
      </c>
      <c r="C107" s="16" t="s">
        <v>50</v>
      </c>
      <c r="D107" s="16" t="s">
        <v>50</v>
      </c>
      <c r="E107" s="16" t="s">
        <v>50</v>
      </c>
      <c r="F107" s="16" t="s">
        <v>50</v>
      </c>
      <c r="G107" s="16" t="s">
        <v>50</v>
      </c>
      <c r="H107" s="16" t="s">
        <v>50</v>
      </c>
      <c r="I107" s="16" t="s">
        <v>50</v>
      </c>
      <c r="J107" s="16" t="s">
        <v>51</v>
      </c>
      <c r="K107" s="16" t="s">
        <v>50</v>
      </c>
      <c r="L107" s="16" t="s">
        <v>50</v>
      </c>
      <c r="M107" s="16" t="s">
        <v>50</v>
      </c>
      <c r="N107" s="16" t="s">
        <v>50</v>
      </c>
      <c r="O107" s="16" t="s">
        <v>50</v>
      </c>
      <c r="P107" s="16" t="s">
        <v>50</v>
      </c>
      <c r="Q107" s="16" t="s">
        <v>50</v>
      </c>
      <c r="R107" s="16" t="s">
        <v>50</v>
      </c>
      <c r="S107" s="16" t="s">
        <v>50</v>
      </c>
      <c r="T107" s="16" t="s">
        <v>50</v>
      </c>
      <c r="U107" s="16" t="s">
        <v>50</v>
      </c>
      <c r="V107" s="16" t="s">
        <v>50</v>
      </c>
      <c r="W107" s="16" t="s">
        <v>50</v>
      </c>
      <c r="X107" s="16" t="s">
        <v>50</v>
      </c>
      <c r="Y107" s="16" t="s">
        <v>50</v>
      </c>
      <c r="Z107" s="16" t="s">
        <v>50</v>
      </c>
      <c r="AA107" s="16" t="s">
        <v>50</v>
      </c>
      <c r="AB107" s="16" t="s">
        <v>50</v>
      </c>
      <c r="AC107" s="16" t="s">
        <v>50</v>
      </c>
      <c r="AD107" s="16" t="s">
        <v>50</v>
      </c>
      <c r="AE107" s="16" t="s">
        <v>50</v>
      </c>
      <c r="AF107" s="16" t="s">
        <v>50</v>
      </c>
      <c r="AG107" s="16" t="s">
        <v>50</v>
      </c>
      <c r="AH107" s="16" t="s">
        <v>50</v>
      </c>
      <c r="AI107" s="16" t="s">
        <v>50</v>
      </c>
      <c r="AJ107" s="16" t="s">
        <v>50</v>
      </c>
      <c r="AK107" s="16" t="s">
        <v>50</v>
      </c>
      <c r="AL107" s="16" t="s">
        <v>50</v>
      </c>
      <c r="AM107" s="16" t="s">
        <v>50</v>
      </c>
      <c r="AN107" s="16" t="s">
        <v>50</v>
      </c>
      <c r="AO107" s="16" t="s">
        <v>50</v>
      </c>
      <c r="AP107" s="16" t="s">
        <v>50</v>
      </c>
      <c r="AQ107" s="16" t="s">
        <v>50</v>
      </c>
      <c r="AR107" s="5">
        <f t="shared" si="8"/>
        <v>0</v>
      </c>
      <c r="AS107" s="5">
        <f t="shared" si="9"/>
        <v>1</v>
      </c>
      <c r="AT107" s="5">
        <f t="shared" si="10"/>
        <v>41</v>
      </c>
      <c r="AU107">
        <f t="shared" si="11"/>
        <v>0</v>
      </c>
      <c r="AV107">
        <f t="shared" si="12"/>
        <v>0</v>
      </c>
      <c r="AW107">
        <f t="shared" si="7"/>
        <v>42</v>
      </c>
    </row>
    <row r="108" spans="1:49" ht="29" x14ac:dyDescent="0.35">
      <c r="A108" s="7" t="s">
        <v>159</v>
      </c>
      <c r="B108" s="16" t="s">
        <v>50</v>
      </c>
      <c r="C108" s="16" t="s">
        <v>50</v>
      </c>
      <c r="D108" s="16" t="s">
        <v>50</v>
      </c>
      <c r="E108" s="16" t="s">
        <v>50</v>
      </c>
      <c r="F108" s="16" t="s">
        <v>50</v>
      </c>
      <c r="G108" s="16" t="s">
        <v>50</v>
      </c>
      <c r="H108" s="16" t="s">
        <v>50</v>
      </c>
      <c r="I108" s="16" t="s">
        <v>50</v>
      </c>
      <c r="J108" s="16" t="s">
        <v>50</v>
      </c>
      <c r="K108" s="16" t="s">
        <v>50</v>
      </c>
      <c r="L108" s="16" t="s">
        <v>50</v>
      </c>
      <c r="M108" s="16" t="s">
        <v>51</v>
      </c>
      <c r="N108" s="16" t="s">
        <v>50</v>
      </c>
      <c r="O108" s="16" t="s">
        <v>50</v>
      </c>
      <c r="P108" s="16" t="s">
        <v>50</v>
      </c>
      <c r="Q108" s="16" t="s">
        <v>50</v>
      </c>
      <c r="R108" s="16" t="s">
        <v>50</v>
      </c>
      <c r="S108" s="16" t="s">
        <v>50</v>
      </c>
      <c r="T108" s="16" t="s">
        <v>50</v>
      </c>
      <c r="U108" s="16" t="s">
        <v>50</v>
      </c>
      <c r="V108" s="18" t="s">
        <v>53</v>
      </c>
      <c r="W108" s="27" t="s">
        <v>53</v>
      </c>
      <c r="X108" s="16" t="s">
        <v>50</v>
      </c>
      <c r="Y108" s="16" t="s">
        <v>50</v>
      </c>
      <c r="Z108" s="16" t="s">
        <v>50</v>
      </c>
      <c r="AA108" s="16" t="s">
        <v>50</v>
      </c>
      <c r="AB108" s="16" t="s">
        <v>50</v>
      </c>
      <c r="AC108" s="16" t="s">
        <v>50</v>
      </c>
      <c r="AD108" s="16" t="s">
        <v>50</v>
      </c>
      <c r="AE108" s="16" t="s">
        <v>50</v>
      </c>
      <c r="AF108" s="16" t="s">
        <v>50</v>
      </c>
      <c r="AG108" s="16" t="s">
        <v>50</v>
      </c>
      <c r="AH108" s="16" t="s">
        <v>50</v>
      </c>
      <c r="AI108" s="16" t="s">
        <v>50</v>
      </c>
      <c r="AJ108" s="16" t="s">
        <v>50</v>
      </c>
      <c r="AK108" s="16" t="s">
        <v>50</v>
      </c>
      <c r="AL108" s="16" t="s">
        <v>50</v>
      </c>
      <c r="AM108" s="16" t="s">
        <v>50</v>
      </c>
      <c r="AN108" s="16" t="s">
        <v>50</v>
      </c>
      <c r="AO108" s="16" t="s">
        <v>50</v>
      </c>
      <c r="AP108" s="16" t="s">
        <v>50</v>
      </c>
      <c r="AQ108" s="16" t="s">
        <v>50</v>
      </c>
      <c r="AR108" s="5">
        <f t="shared" si="8"/>
        <v>2</v>
      </c>
      <c r="AS108" s="5">
        <f t="shared" si="9"/>
        <v>1</v>
      </c>
      <c r="AT108" s="5">
        <f t="shared" si="10"/>
        <v>39</v>
      </c>
      <c r="AU108">
        <f t="shared" si="11"/>
        <v>0</v>
      </c>
      <c r="AV108">
        <f t="shared" si="12"/>
        <v>0</v>
      </c>
      <c r="AW108">
        <f t="shared" si="7"/>
        <v>42</v>
      </c>
    </row>
    <row r="109" spans="1:49" x14ac:dyDescent="0.35">
      <c r="A109" s="5" t="s">
        <v>160</v>
      </c>
      <c r="B109" s="18" t="s">
        <v>53</v>
      </c>
      <c r="C109" s="16" t="s">
        <v>50</v>
      </c>
      <c r="D109" s="16" t="s">
        <v>50</v>
      </c>
      <c r="E109" s="16" t="s">
        <v>50</v>
      </c>
      <c r="F109" s="16" t="s">
        <v>50</v>
      </c>
      <c r="G109" s="16" t="s">
        <v>50</v>
      </c>
      <c r="H109" s="16" t="s">
        <v>50</v>
      </c>
      <c r="I109" s="16" t="s">
        <v>50</v>
      </c>
      <c r="J109" s="16" t="s">
        <v>50</v>
      </c>
      <c r="K109" s="16" t="s">
        <v>50</v>
      </c>
      <c r="L109" s="16" t="s">
        <v>50</v>
      </c>
      <c r="M109" s="16" t="s">
        <v>50</v>
      </c>
      <c r="N109" s="16" t="s">
        <v>50</v>
      </c>
      <c r="O109" s="16" t="s">
        <v>50</v>
      </c>
      <c r="P109" s="16" t="s">
        <v>50</v>
      </c>
      <c r="Q109" s="26" t="s">
        <v>50</v>
      </c>
      <c r="R109" s="16" t="s">
        <v>50</v>
      </c>
      <c r="S109" s="16" t="s">
        <v>50</v>
      </c>
      <c r="T109" s="16" t="s">
        <v>50</v>
      </c>
      <c r="U109" s="16" t="s">
        <v>50</v>
      </c>
      <c r="V109" s="16" t="s">
        <v>50</v>
      </c>
      <c r="W109" s="16" t="s">
        <v>50</v>
      </c>
      <c r="X109" s="16" t="s">
        <v>50</v>
      </c>
      <c r="Y109" s="16" t="s">
        <v>50</v>
      </c>
      <c r="Z109" s="16" t="s">
        <v>50</v>
      </c>
      <c r="AA109" s="16" t="s">
        <v>50</v>
      </c>
      <c r="AB109" s="16" t="s">
        <v>50</v>
      </c>
      <c r="AC109" s="16" t="s">
        <v>50</v>
      </c>
      <c r="AD109" s="21" t="s">
        <v>50</v>
      </c>
      <c r="AE109" s="16" t="s">
        <v>50</v>
      </c>
      <c r="AF109" s="16" t="s">
        <v>50</v>
      </c>
      <c r="AG109" s="16" t="s">
        <v>50</v>
      </c>
      <c r="AH109" s="16" t="s">
        <v>50</v>
      </c>
      <c r="AI109" s="16" t="s">
        <v>50</v>
      </c>
      <c r="AJ109" s="16" t="s">
        <v>50</v>
      </c>
      <c r="AK109" s="16" t="s">
        <v>50</v>
      </c>
      <c r="AL109" s="16" t="s">
        <v>50</v>
      </c>
      <c r="AM109" s="16" t="s">
        <v>50</v>
      </c>
      <c r="AN109" s="16" t="s">
        <v>50</v>
      </c>
      <c r="AO109" s="16" t="s">
        <v>50</v>
      </c>
      <c r="AP109" s="16" t="s">
        <v>50</v>
      </c>
      <c r="AQ109" s="16" t="s">
        <v>50</v>
      </c>
      <c r="AR109" s="5">
        <f t="shared" si="8"/>
        <v>1</v>
      </c>
      <c r="AS109" s="5">
        <f t="shared" si="9"/>
        <v>0</v>
      </c>
      <c r="AT109" s="5">
        <f t="shared" si="10"/>
        <v>41</v>
      </c>
      <c r="AU109">
        <f t="shared" si="11"/>
        <v>0</v>
      </c>
      <c r="AV109">
        <f t="shared" si="12"/>
        <v>0</v>
      </c>
      <c r="AW109">
        <f t="shared" si="7"/>
        <v>42</v>
      </c>
    </row>
    <row r="110" spans="1:49" x14ac:dyDescent="0.35">
      <c r="A110" s="5" t="s">
        <v>161</v>
      </c>
      <c r="B110" s="16" t="s">
        <v>50</v>
      </c>
      <c r="C110" s="16" t="s">
        <v>50</v>
      </c>
      <c r="D110" s="16" t="s">
        <v>50</v>
      </c>
      <c r="E110" s="16" t="s">
        <v>50</v>
      </c>
      <c r="F110" s="16" t="s">
        <v>50</v>
      </c>
      <c r="G110" s="26" t="s">
        <v>51</v>
      </c>
      <c r="H110" s="16" t="s">
        <v>51</v>
      </c>
      <c r="I110" s="26" t="s">
        <v>51</v>
      </c>
      <c r="J110" s="16" t="s">
        <v>50</v>
      </c>
      <c r="K110" s="16" t="s">
        <v>51</v>
      </c>
      <c r="L110" s="16" t="s">
        <v>50</v>
      </c>
      <c r="M110" s="16" t="s">
        <v>50</v>
      </c>
      <c r="N110" s="16" t="s">
        <v>50</v>
      </c>
      <c r="O110" s="16" t="s">
        <v>50</v>
      </c>
      <c r="P110" s="16" t="s">
        <v>51</v>
      </c>
      <c r="Q110" s="16" t="s">
        <v>50</v>
      </c>
      <c r="R110" s="16" t="s">
        <v>50</v>
      </c>
      <c r="S110" s="16" t="s">
        <v>50</v>
      </c>
      <c r="T110" s="16" t="s">
        <v>50</v>
      </c>
      <c r="U110" s="16" t="s">
        <v>50</v>
      </c>
      <c r="V110" s="27" t="s">
        <v>53</v>
      </c>
      <c r="W110" s="16" t="s">
        <v>50</v>
      </c>
      <c r="X110" s="16" t="s">
        <v>50</v>
      </c>
      <c r="Y110" s="16" t="s">
        <v>50</v>
      </c>
      <c r="Z110" s="26" t="s">
        <v>50</v>
      </c>
      <c r="AA110" s="16" t="s">
        <v>50</v>
      </c>
      <c r="AB110" s="16" t="s">
        <v>50</v>
      </c>
      <c r="AC110" s="16" t="s">
        <v>50</v>
      </c>
      <c r="AD110" s="16" t="s">
        <v>50</v>
      </c>
      <c r="AE110" s="16" t="s">
        <v>50</v>
      </c>
      <c r="AF110" s="16" t="s">
        <v>50</v>
      </c>
      <c r="AG110" s="16" t="s">
        <v>50</v>
      </c>
      <c r="AH110" s="16" t="s">
        <v>50</v>
      </c>
      <c r="AI110" s="16" t="s">
        <v>50</v>
      </c>
      <c r="AJ110" s="18" t="s">
        <v>53</v>
      </c>
      <c r="AK110" s="16" t="s">
        <v>50</v>
      </c>
      <c r="AL110" s="16" t="s">
        <v>50</v>
      </c>
      <c r="AM110" s="16" t="s">
        <v>50</v>
      </c>
      <c r="AN110" s="16" t="s">
        <v>50</v>
      </c>
      <c r="AO110" s="16" t="s">
        <v>50</v>
      </c>
      <c r="AP110" s="16" t="s">
        <v>50</v>
      </c>
      <c r="AQ110" s="16" t="s">
        <v>50</v>
      </c>
      <c r="AR110" s="5">
        <f t="shared" si="8"/>
        <v>2</v>
      </c>
      <c r="AS110" s="5">
        <f t="shared" si="9"/>
        <v>5</v>
      </c>
      <c r="AT110" s="5">
        <f t="shared" si="10"/>
        <v>35</v>
      </c>
      <c r="AU110">
        <f t="shared" si="11"/>
        <v>0</v>
      </c>
      <c r="AV110">
        <f t="shared" si="12"/>
        <v>0</v>
      </c>
      <c r="AW110">
        <f t="shared" ref="AW110:AW133" si="13">SUM(AR110:AU110)</f>
        <v>42</v>
      </c>
    </row>
    <row r="111" spans="1:49" x14ac:dyDescent="0.35">
      <c r="A111" s="5" t="s">
        <v>162</v>
      </c>
      <c r="B111" s="18" t="s">
        <v>53</v>
      </c>
      <c r="C111" s="31" t="s">
        <v>53</v>
      </c>
      <c r="D111" s="18" t="s">
        <v>53</v>
      </c>
      <c r="E111" s="18" t="s">
        <v>53</v>
      </c>
      <c r="F111" s="16" t="s">
        <v>50</v>
      </c>
      <c r="G111" s="31" t="s">
        <v>53</v>
      </c>
      <c r="H111" s="18" t="s">
        <v>53</v>
      </c>
      <c r="I111" s="18" t="s">
        <v>53</v>
      </c>
      <c r="J111" s="18" t="s">
        <v>53</v>
      </c>
      <c r="K111" s="18" t="s">
        <v>53</v>
      </c>
      <c r="L111" s="18" t="s">
        <v>53</v>
      </c>
      <c r="M111" s="18" t="s">
        <v>53</v>
      </c>
      <c r="N111" s="18" t="s">
        <v>53</v>
      </c>
      <c r="O111" s="18" t="s">
        <v>53</v>
      </c>
      <c r="P111" s="16" t="s">
        <v>50</v>
      </c>
      <c r="Q111" s="18" t="s">
        <v>53</v>
      </c>
      <c r="R111" s="18" t="s">
        <v>53</v>
      </c>
      <c r="S111" s="18" t="s">
        <v>53</v>
      </c>
      <c r="T111" s="18" t="s">
        <v>53</v>
      </c>
      <c r="U111" s="31" t="s">
        <v>53</v>
      </c>
      <c r="V111" s="18" t="s">
        <v>53</v>
      </c>
      <c r="W111" s="18" t="s">
        <v>53</v>
      </c>
      <c r="X111" s="18" t="s">
        <v>53</v>
      </c>
      <c r="Y111" s="18" t="s">
        <v>53</v>
      </c>
      <c r="Z111" s="18" t="s">
        <v>53</v>
      </c>
      <c r="AA111" s="27" t="s">
        <v>53</v>
      </c>
      <c r="AB111" s="18" t="s">
        <v>53</v>
      </c>
      <c r="AC111" s="18" t="s">
        <v>53</v>
      </c>
      <c r="AD111" s="18" t="s">
        <v>53</v>
      </c>
      <c r="AE111" s="18" t="s">
        <v>53</v>
      </c>
      <c r="AF111" s="18" t="s">
        <v>53</v>
      </c>
      <c r="AG111" s="18" t="s">
        <v>53</v>
      </c>
      <c r="AH111" s="16" t="s">
        <v>51</v>
      </c>
      <c r="AI111" s="18" t="s">
        <v>53</v>
      </c>
      <c r="AJ111" s="18" t="s">
        <v>53</v>
      </c>
      <c r="AK111" s="16" t="s">
        <v>50</v>
      </c>
      <c r="AL111" s="16" t="s">
        <v>51</v>
      </c>
      <c r="AM111" s="18" t="s">
        <v>53</v>
      </c>
      <c r="AN111" s="18" t="s">
        <v>53</v>
      </c>
      <c r="AO111" s="18" t="s">
        <v>53</v>
      </c>
      <c r="AP111" s="18" t="s">
        <v>53</v>
      </c>
      <c r="AQ111" s="18" t="s">
        <v>53</v>
      </c>
      <c r="AR111" s="5">
        <f t="shared" si="8"/>
        <v>37</v>
      </c>
      <c r="AS111" s="5">
        <f t="shared" si="9"/>
        <v>2</v>
      </c>
      <c r="AT111" s="5">
        <f t="shared" si="10"/>
        <v>3</v>
      </c>
      <c r="AU111">
        <f t="shared" si="11"/>
        <v>0</v>
      </c>
      <c r="AV111">
        <f t="shared" si="12"/>
        <v>0</v>
      </c>
      <c r="AW111">
        <f t="shared" si="13"/>
        <v>42</v>
      </c>
    </row>
    <row r="112" spans="1:49" x14ac:dyDescent="0.35">
      <c r="A112" t="s">
        <v>163</v>
      </c>
      <c r="B112" s="16" t="s">
        <v>50</v>
      </c>
      <c r="C112" s="18" t="s">
        <v>53</v>
      </c>
      <c r="D112" s="16" t="s">
        <v>50</v>
      </c>
      <c r="E112" s="27" t="s">
        <v>53</v>
      </c>
      <c r="F112" s="16" t="s">
        <v>50</v>
      </c>
      <c r="G112" s="27" t="s">
        <v>53</v>
      </c>
      <c r="H112" s="16" t="s">
        <v>50</v>
      </c>
      <c r="I112" s="18" t="s">
        <v>53</v>
      </c>
      <c r="J112" s="16" t="s">
        <v>50</v>
      </c>
      <c r="K112" s="18" t="s">
        <v>53</v>
      </c>
      <c r="L112" s="27" t="s">
        <v>53</v>
      </c>
      <c r="M112" s="34" t="s">
        <v>50</v>
      </c>
      <c r="N112" s="18" t="s">
        <v>53</v>
      </c>
      <c r="O112" s="18" t="s">
        <v>53</v>
      </c>
      <c r="P112" s="16" t="s">
        <v>50</v>
      </c>
      <c r="Q112" s="18" t="s">
        <v>53</v>
      </c>
      <c r="R112" s="18" t="s">
        <v>53</v>
      </c>
      <c r="S112" s="18" t="s">
        <v>53</v>
      </c>
      <c r="T112" s="18" t="s">
        <v>53</v>
      </c>
      <c r="U112" s="18" t="s">
        <v>53</v>
      </c>
      <c r="V112" s="18" t="s">
        <v>53</v>
      </c>
      <c r="W112" s="16" t="s">
        <v>50</v>
      </c>
      <c r="X112" s="18" t="s">
        <v>53</v>
      </c>
      <c r="Y112" s="16" t="s">
        <v>50</v>
      </c>
      <c r="Z112" s="16" t="s">
        <v>50</v>
      </c>
      <c r="AA112" s="18" t="s">
        <v>53</v>
      </c>
      <c r="AB112" s="16" t="s">
        <v>50</v>
      </c>
      <c r="AC112" s="16" t="s">
        <v>50</v>
      </c>
      <c r="AD112" s="18" t="s">
        <v>53</v>
      </c>
      <c r="AE112" s="16" t="s">
        <v>50</v>
      </c>
      <c r="AF112" s="18" t="s">
        <v>53</v>
      </c>
      <c r="AG112" s="16" t="s">
        <v>50</v>
      </c>
      <c r="AH112" s="16" t="s">
        <v>50</v>
      </c>
      <c r="AI112" s="16" t="s">
        <v>50</v>
      </c>
      <c r="AJ112" s="18" t="s">
        <v>53</v>
      </c>
      <c r="AK112" s="16" t="s">
        <v>50</v>
      </c>
      <c r="AL112" s="16" t="s">
        <v>50</v>
      </c>
      <c r="AM112" s="18" t="s">
        <v>53</v>
      </c>
      <c r="AN112" s="16" t="s">
        <v>50</v>
      </c>
      <c r="AO112" s="16" t="s">
        <v>50</v>
      </c>
      <c r="AP112" s="16" t="s">
        <v>50</v>
      </c>
      <c r="AQ112" s="27" t="s">
        <v>53</v>
      </c>
      <c r="AR112" s="5">
        <f t="shared" si="8"/>
        <v>21</v>
      </c>
      <c r="AS112" s="5">
        <f t="shared" si="9"/>
        <v>0</v>
      </c>
      <c r="AT112" s="5">
        <f t="shared" si="10"/>
        <v>21</v>
      </c>
      <c r="AU112">
        <f t="shared" si="11"/>
        <v>0</v>
      </c>
      <c r="AV112">
        <f t="shared" si="12"/>
        <v>0</v>
      </c>
      <c r="AW112">
        <f t="shared" si="13"/>
        <v>42</v>
      </c>
    </row>
    <row r="113" spans="1:49" x14ac:dyDescent="0.35">
      <c r="A113" t="s">
        <v>164</v>
      </c>
      <c r="B113" s="16" t="s">
        <v>50</v>
      </c>
      <c r="C113" s="16" t="s">
        <v>50</v>
      </c>
      <c r="D113" s="16" t="s">
        <v>50</v>
      </c>
      <c r="E113" s="18" t="s">
        <v>53</v>
      </c>
      <c r="F113" s="27" t="s">
        <v>53</v>
      </c>
      <c r="G113" s="16" t="s">
        <v>50</v>
      </c>
      <c r="H113" s="18" t="s">
        <v>53</v>
      </c>
      <c r="I113" s="18" t="s">
        <v>53</v>
      </c>
      <c r="J113" s="16" t="s">
        <v>50</v>
      </c>
      <c r="K113" s="27" t="s">
        <v>53</v>
      </c>
      <c r="L113" s="16" t="s">
        <v>50</v>
      </c>
      <c r="M113" s="27" t="s">
        <v>53</v>
      </c>
      <c r="N113" s="16" t="s">
        <v>50</v>
      </c>
      <c r="O113" s="18" t="s">
        <v>53</v>
      </c>
      <c r="P113" s="18" t="s">
        <v>53</v>
      </c>
      <c r="Q113" s="16" t="s">
        <v>50</v>
      </c>
      <c r="R113" s="16" t="s">
        <v>50</v>
      </c>
      <c r="S113" s="16" t="s">
        <v>50</v>
      </c>
      <c r="T113" s="16" t="s">
        <v>50</v>
      </c>
      <c r="U113" s="16" t="s">
        <v>50</v>
      </c>
      <c r="V113" s="16" t="s">
        <v>50</v>
      </c>
      <c r="W113" s="18" t="s">
        <v>53</v>
      </c>
      <c r="X113" s="16" t="s">
        <v>50</v>
      </c>
      <c r="Y113" s="16" t="s">
        <v>50</v>
      </c>
      <c r="Z113" s="18" t="s">
        <v>53</v>
      </c>
      <c r="AA113" s="16" t="s">
        <v>50</v>
      </c>
      <c r="AB113" s="16" t="s">
        <v>50</v>
      </c>
      <c r="AC113" s="18" t="s">
        <v>53</v>
      </c>
      <c r="AD113" s="18" t="s">
        <v>53</v>
      </c>
      <c r="AE113" s="18" t="s">
        <v>53</v>
      </c>
      <c r="AF113" s="16" t="s">
        <v>50</v>
      </c>
      <c r="AG113" s="16" t="s">
        <v>50</v>
      </c>
      <c r="AH113" s="18" t="s">
        <v>53</v>
      </c>
      <c r="AI113" s="18" t="s">
        <v>53</v>
      </c>
      <c r="AJ113" s="16" t="s">
        <v>50</v>
      </c>
      <c r="AK113" s="16" t="s">
        <v>50</v>
      </c>
      <c r="AL113" s="18" t="s">
        <v>53</v>
      </c>
      <c r="AM113" s="16" t="s">
        <v>50</v>
      </c>
      <c r="AN113" s="16" t="s">
        <v>50</v>
      </c>
      <c r="AO113" s="16" t="s">
        <v>50</v>
      </c>
      <c r="AP113" s="16" t="s">
        <v>50</v>
      </c>
      <c r="AQ113" s="16" t="s">
        <v>50</v>
      </c>
      <c r="AR113" s="5">
        <f t="shared" si="8"/>
        <v>16</v>
      </c>
      <c r="AS113" s="5">
        <f t="shared" si="9"/>
        <v>0</v>
      </c>
      <c r="AT113" s="5">
        <f t="shared" si="10"/>
        <v>26</v>
      </c>
      <c r="AU113">
        <f t="shared" si="11"/>
        <v>0</v>
      </c>
      <c r="AV113">
        <f t="shared" si="12"/>
        <v>0</v>
      </c>
      <c r="AW113">
        <f t="shared" si="13"/>
        <v>42</v>
      </c>
    </row>
    <row r="114" spans="1:49" x14ac:dyDescent="0.35">
      <c r="A114" t="s">
        <v>165</v>
      </c>
      <c r="B114" s="16" t="s">
        <v>50</v>
      </c>
      <c r="C114" s="16" t="s">
        <v>50</v>
      </c>
      <c r="D114" s="16" t="s">
        <v>50</v>
      </c>
      <c r="E114" s="16" t="s">
        <v>50</v>
      </c>
      <c r="F114" s="27" t="s">
        <v>53</v>
      </c>
      <c r="G114" s="16" t="s">
        <v>50</v>
      </c>
      <c r="H114" s="18" t="s">
        <v>53</v>
      </c>
      <c r="I114" s="18" t="s">
        <v>53</v>
      </c>
      <c r="J114" s="16" t="s">
        <v>50</v>
      </c>
      <c r="K114" s="27" t="s">
        <v>53</v>
      </c>
      <c r="L114" s="16" t="s">
        <v>50</v>
      </c>
      <c r="M114" s="27" t="s">
        <v>53</v>
      </c>
      <c r="N114" s="16" t="s">
        <v>50</v>
      </c>
      <c r="O114" s="18" t="s">
        <v>53</v>
      </c>
      <c r="P114" s="18" t="s">
        <v>53</v>
      </c>
      <c r="Q114" s="16" t="s">
        <v>50</v>
      </c>
      <c r="R114" s="16" t="s">
        <v>50</v>
      </c>
      <c r="S114" s="16" t="s">
        <v>50</v>
      </c>
      <c r="T114" s="16" t="s">
        <v>50</v>
      </c>
      <c r="U114" s="16" t="s">
        <v>50</v>
      </c>
      <c r="V114" s="16" t="s">
        <v>50</v>
      </c>
      <c r="W114" s="18" t="s">
        <v>53</v>
      </c>
      <c r="X114" s="16" t="s">
        <v>50</v>
      </c>
      <c r="Y114" s="16" t="s">
        <v>50</v>
      </c>
      <c r="Z114" s="18" t="s">
        <v>53</v>
      </c>
      <c r="AA114" s="16" t="s">
        <v>50</v>
      </c>
      <c r="AB114" s="16" t="s">
        <v>50</v>
      </c>
      <c r="AC114" s="18" t="s">
        <v>53</v>
      </c>
      <c r="AD114" s="18" t="s">
        <v>53</v>
      </c>
      <c r="AE114" s="18" t="s">
        <v>53</v>
      </c>
      <c r="AF114" s="16" t="s">
        <v>50</v>
      </c>
      <c r="AG114" s="16" t="s">
        <v>50</v>
      </c>
      <c r="AH114" s="18" t="s">
        <v>53</v>
      </c>
      <c r="AI114" s="18" t="s">
        <v>53</v>
      </c>
      <c r="AJ114" s="16" t="s">
        <v>50</v>
      </c>
      <c r="AK114" s="16" t="s">
        <v>50</v>
      </c>
      <c r="AL114" s="18" t="s">
        <v>53</v>
      </c>
      <c r="AM114" s="16" t="s">
        <v>50</v>
      </c>
      <c r="AN114" s="16" t="s">
        <v>50</v>
      </c>
      <c r="AO114" s="16" t="s">
        <v>50</v>
      </c>
      <c r="AP114" s="16" t="s">
        <v>50</v>
      </c>
      <c r="AQ114" s="16" t="s">
        <v>50</v>
      </c>
      <c r="AR114" s="5">
        <f t="shared" si="8"/>
        <v>15</v>
      </c>
      <c r="AS114" s="5">
        <f t="shared" si="9"/>
        <v>0</v>
      </c>
      <c r="AT114" s="5">
        <f t="shared" si="10"/>
        <v>27</v>
      </c>
      <c r="AU114">
        <f t="shared" si="11"/>
        <v>0</v>
      </c>
      <c r="AV114">
        <f t="shared" si="12"/>
        <v>0</v>
      </c>
      <c r="AW114">
        <f t="shared" si="13"/>
        <v>42</v>
      </c>
    </row>
    <row r="115" spans="1:49" x14ac:dyDescent="0.35">
      <c r="A115" s="8" t="s">
        <v>166</v>
      </c>
      <c r="B115" s="16" t="s">
        <v>50</v>
      </c>
      <c r="C115" s="16" t="s">
        <v>50</v>
      </c>
      <c r="D115" s="16" t="s">
        <v>50</v>
      </c>
      <c r="E115" s="16" t="s">
        <v>50</v>
      </c>
      <c r="F115" s="16" t="s">
        <v>50</v>
      </c>
      <c r="G115" s="16" t="s">
        <v>50</v>
      </c>
      <c r="H115" s="16" t="s">
        <v>50</v>
      </c>
      <c r="I115" s="16" t="s">
        <v>51</v>
      </c>
      <c r="J115" s="16" t="s">
        <v>50</v>
      </c>
      <c r="K115" s="16" t="s">
        <v>50</v>
      </c>
      <c r="L115" s="16" t="s">
        <v>50</v>
      </c>
      <c r="M115" s="16" t="s">
        <v>50</v>
      </c>
      <c r="N115" s="16" t="s">
        <v>50</v>
      </c>
      <c r="O115" s="16" t="s">
        <v>50</v>
      </c>
      <c r="P115" s="16" t="s">
        <v>50</v>
      </c>
      <c r="Q115" s="16" t="s">
        <v>50</v>
      </c>
      <c r="R115" s="16" t="s">
        <v>50</v>
      </c>
      <c r="S115" s="16" t="s">
        <v>50</v>
      </c>
      <c r="T115" s="16" t="s">
        <v>50</v>
      </c>
      <c r="U115" s="26" t="s">
        <v>51</v>
      </c>
      <c r="V115" s="16" t="s">
        <v>50</v>
      </c>
      <c r="W115" s="16" t="s">
        <v>50</v>
      </c>
      <c r="X115" s="16" t="s">
        <v>50</v>
      </c>
      <c r="Y115" s="16" t="s">
        <v>50</v>
      </c>
      <c r="Z115" s="16" t="s">
        <v>50</v>
      </c>
      <c r="AA115" s="26" t="s">
        <v>51</v>
      </c>
      <c r="AB115" s="26" t="s">
        <v>51</v>
      </c>
      <c r="AC115" s="16" t="s">
        <v>50</v>
      </c>
      <c r="AD115" s="16" t="s">
        <v>50</v>
      </c>
      <c r="AE115" s="16" t="s">
        <v>50</v>
      </c>
      <c r="AF115" s="16" t="s">
        <v>50</v>
      </c>
      <c r="AG115" s="16" t="s">
        <v>50</v>
      </c>
      <c r="AH115" s="16" t="s">
        <v>50</v>
      </c>
      <c r="AI115" s="16" t="s">
        <v>50</v>
      </c>
      <c r="AJ115" s="16" t="s">
        <v>50</v>
      </c>
      <c r="AK115" s="16" t="s">
        <v>50</v>
      </c>
      <c r="AL115" s="16" t="s">
        <v>50</v>
      </c>
      <c r="AM115" s="16" t="s">
        <v>50</v>
      </c>
      <c r="AN115" s="16" t="s">
        <v>50</v>
      </c>
      <c r="AO115" s="16" t="s">
        <v>50</v>
      </c>
      <c r="AP115" s="16" t="s">
        <v>50</v>
      </c>
      <c r="AQ115" s="16" t="s">
        <v>50</v>
      </c>
      <c r="AR115" s="5">
        <f t="shared" si="8"/>
        <v>0</v>
      </c>
      <c r="AS115" s="5">
        <f t="shared" si="9"/>
        <v>4</v>
      </c>
      <c r="AT115" s="5">
        <f t="shared" si="10"/>
        <v>38</v>
      </c>
      <c r="AU115">
        <f t="shared" si="11"/>
        <v>0</v>
      </c>
      <c r="AV115">
        <f t="shared" si="12"/>
        <v>0</v>
      </c>
      <c r="AW115">
        <f t="shared" si="13"/>
        <v>42</v>
      </c>
    </row>
    <row r="116" spans="1:49" x14ac:dyDescent="0.35">
      <c r="A116" t="s">
        <v>167</v>
      </c>
      <c r="B116" s="16" t="s">
        <v>50</v>
      </c>
      <c r="C116" s="32" t="s">
        <v>51</v>
      </c>
      <c r="D116" s="16" t="s">
        <v>51</v>
      </c>
      <c r="E116" s="16" t="s">
        <v>51</v>
      </c>
      <c r="F116" s="16" t="s">
        <v>51</v>
      </c>
      <c r="G116" s="18" t="s">
        <v>53</v>
      </c>
      <c r="H116" s="16" t="s">
        <v>51</v>
      </c>
      <c r="I116" s="16" t="s">
        <v>51</v>
      </c>
      <c r="J116" s="16" t="s">
        <v>51</v>
      </c>
      <c r="K116" s="16" t="s">
        <v>51</v>
      </c>
      <c r="L116" s="16" t="s">
        <v>51</v>
      </c>
      <c r="M116" s="16" t="s">
        <v>51</v>
      </c>
      <c r="N116" s="16" t="s">
        <v>51</v>
      </c>
      <c r="O116" s="16" t="s">
        <v>51</v>
      </c>
      <c r="P116" s="16" t="s">
        <v>51</v>
      </c>
      <c r="Q116" s="16" t="s">
        <v>51</v>
      </c>
      <c r="R116" s="26" t="s">
        <v>51</v>
      </c>
      <c r="S116" s="16" t="s">
        <v>51</v>
      </c>
      <c r="T116" s="16" t="s">
        <v>51</v>
      </c>
      <c r="U116" s="16" t="s">
        <v>51</v>
      </c>
      <c r="V116" s="16" t="s">
        <v>51</v>
      </c>
      <c r="W116" s="16" t="s">
        <v>51</v>
      </c>
      <c r="X116" s="16" t="s">
        <v>51</v>
      </c>
      <c r="Y116" s="16" t="s">
        <v>51</v>
      </c>
      <c r="Z116" s="16" t="s">
        <v>51</v>
      </c>
      <c r="AA116" s="16" t="s">
        <v>51</v>
      </c>
      <c r="AB116" s="16" t="s">
        <v>51</v>
      </c>
      <c r="AC116" s="18" t="s">
        <v>53</v>
      </c>
      <c r="AD116" s="16" t="s">
        <v>51</v>
      </c>
      <c r="AE116" s="16" t="s">
        <v>51</v>
      </c>
      <c r="AF116" s="16" t="s">
        <v>51</v>
      </c>
      <c r="AG116" s="26" t="s">
        <v>51</v>
      </c>
      <c r="AH116" s="16" t="s">
        <v>51</v>
      </c>
      <c r="AI116" s="16" t="s">
        <v>51</v>
      </c>
      <c r="AJ116" s="16" t="s">
        <v>51</v>
      </c>
      <c r="AK116" s="26" t="s">
        <v>51</v>
      </c>
      <c r="AL116" s="16" t="s">
        <v>51</v>
      </c>
      <c r="AM116" s="16" t="s">
        <v>51</v>
      </c>
      <c r="AN116" s="16" t="s">
        <v>51</v>
      </c>
      <c r="AO116" s="16" t="s">
        <v>51</v>
      </c>
      <c r="AP116" s="16" t="s">
        <v>51</v>
      </c>
      <c r="AQ116" s="16" t="s">
        <v>51</v>
      </c>
      <c r="AR116" s="5">
        <f t="shared" si="8"/>
        <v>2</v>
      </c>
      <c r="AS116" s="5">
        <f t="shared" si="9"/>
        <v>39</v>
      </c>
      <c r="AT116" s="5">
        <f t="shared" si="10"/>
        <v>1</v>
      </c>
      <c r="AU116">
        <f t="shared" si="11"/>
        <v>0</v>
      </c>
      <c r="AV116">
        <f t="shared" si="12"/>
        <v>0</v>
      </c>
      <c r="AW116">
        <f t="shared" si="13"/>
        <v>42</v>
      </c>
    </row>
    <row r="117" spans="1:49" x14ac:dyDescent="0.35">
      <c r="A117" s="5" t="s">
        <v>168</v>
      </c>
      <c r="B117" s="16" t="s">
        <v>50</v>
      </c>
      <c r="C117" s="16" t="s">
        <v>50</v>
      </c>
      <c r="D117" s="16" t="s">
        <v>50</v>
      </c>
      <c r="E117" s="16" t="s">
        <v>50</v>
      </c>
      <c r="F117" s="16" t="s">
        <v>50</v>
      </c>
      <c r="G117" s="16" t="s">
        <v>50</v>
      </c>
      <c r="H117" s="16" t="s">
        <v>50</v>
      </c>
      <c r="I117" s="16" t="s">
        <v>50</v>
      </c>
      <c r="J117" s="16" t="s">
        <v>51</v>
      </c>
      <c r="K117" s="16" t="s">
        <v>50</v>
      </c>
      <c r="L117" s="16" t="s">
        <v>50</v>
      </c>
      <c r="M117" s="16" t="s">
        <v>50</v>
      </c>
      <c r="N117" s="16" t="s">
        <v>50</v>
      </c>
      <c r="O117" s="16" t="s">
        <v>50</v>
      </c>
      <c r="P117" s="16" t="s">
        <v>50</v>
      </c>
      <c r="Q117" s="16" t="s">
        <v>50</v>
      </c>
      <c r="R117" s="18" t="s">
        <v>53</v>
      </c>
      <c r="S117" s="16" t="s">
        <v>50</v>
      </c>
      <c r="T117" s="16" t="s">
        <v>50</v>
      </c>
      <c r="U117" s="16" t="s">
        <v>50</v>
      </c>
      <c r="V117" s="18" t="s">
        <v>53</v>
      </c>
      <c r="W117" s="16" t="s">
        <v>50</v>
      </c>
      <c r="X117" s="18" t="s">
        <v>53</v>
      </c>
      <c r="Y117" s="16" t="s">
        <v>50</v>
      </c>
      <c r="Z117" s="16" t="s">
        <v>51</v>
      </c>
      <c r="AA117" s="16" t="s">
        <v>51</v>
      </c>
      <c r="AB117" s="27" t="s">
        <v>53</v>
      </c>
      <c r="AC117" s="16" t="s">
        <v>50</v>
      </c>
      <c r="AD117" s="25" t="s">
        <v>53</v>
      </c>
      <c r="AE117" s="16" t="s">
        <v>51</v>
      </c>
      <c r="AF117" s="16" t="s">
        <v>50</v>
      </c>
      <c r="AG117" s="16" t="s">
        <v>50</v>
      </c>
      <c r="AH117" s="16" t="s">
        <v>51</v>
      </c>
      <c r="AI117" s="16" t="s">
        <v>50</v>
      </c>
      <c r="AJ117" s="16" t="s">
        <v>50</v>
      </c>
      <c r="AK117" s="16" t="s">
        <v>50</v>
      </c>
      <c r="AL117" s="16" t="s">
        <v>50</v>
      </c>
      <c r="AM117" s="16" t="s">
        <v>51</v>
      </c>
      <c r="AN117" s="16" t="s">
        <v>50</v>
      </c>
      <c r="AO117" s="16" t="s">
        <v>50</v>
      </c>
      <c r="AP117" s="16" t="s">
        <v>50</v>
      </c>
      <c r="AQ117" s="18" t="s">
        <v>53</v>
      </c>
      <c r="AR117" s="5">
        <f t="shared" si="8"/>
        <v>6</v>
      </c>
      <c r="AS117" s="5">
        <f t="shared" si="9"/>
        <v>6</v>
      </c>
      <c r="AT117" s="5">
        <f t="shared" si="10"/>
        <v>30</v>
      </c>
      <c r="AU117">
        <f t="shared" si="11"/>
        <v>0</v>
      </c>
      <c r="AV117">
        <f t="shared" si="12"/>
        <v>0</v>
      </c>
      <c r="AW117">
        <f t="shared" si="13"/>
        <v>42</v>
      </c>
    </row>
    <row r="118" spans="1:49" x14ac:dyDescent="0.35">
      <c r="A118" s="5" t="s">
        <v>169</v>
      </c>
      <c r="B118" s="18" t="s">
        <v>53</v>
      </c>
      <c r="C118" s="16" t="s">
        <v>50</v>
      </c>
      <c r="D118" s="27" t="s">
        <v>53</v>
      </c>
      <c r="E118" s="18" t="s">
        <v>53</v>
      </c>
      <c r="F118" s="18" t="s">
        <v>53</v>
      </c>
      <c r="G118" s="16" t="s">
        <v>51</v>
      </c>
      <c r="H118" s="16" t="s">
        <v>51</v>
      </c>
      <c r="I118" s="18" t="s">
        <v>53</v>
      </c>
      <c r="J118" s="27" t="s">
        <v>53</v>
      </c>
      <c r="K118" s="16" t="s">
        <v>51</v>
      </c>
      <c r="L118" s="16" t="s">
        <v>51</v>
      </c>
      <c r="M118" s="18" t="s">
        <v>53</v>
      </c>
      <c r="N118" s="27" t="s">
        <v>53</v>
      </c>
      <c r="O118" s="16" t="s">
        <v>51</v>
      </c>
      <c r="P118" s="16" t="s">
        <v>51</v>
      </c>
      <c r="Q118" s="16" t="s">
        <v>51</v>
      </c>
      <c r="R118" s="27" t="s">
        <v>53</v>
      </c>
      <c r="S118" s="18" t="s">
        <v>53</v>
      </c>
      <c r="T118" s="16" t="s">
        <v>51</v>
      </c>
      <c r="U118" s="18" t="s">
        <v>53</v>
      </c>
      <c r="V118" s="18" t="s">
        <v>53</v>
      </c>
      <c r="W118" s="18" t="s">
        <v>53</v>
      </c>
      <c r="X118" s="18" t="s">
        <v>53</v>
      </c>
      <c r="Y118" s="18" t="s">
        <v>53</v>
      </c>
      <c r="Z118" s="34" t="s">
        <v>51</v>
      </c>
      <c r="AA118" s="18" t="s">
        <v>53</v>
      </c>
      <c r="AB118" s="18" t="s">
        <v>53</v>
      </c>
      <c r="AC118" s="18" t="s">
        <v>53</v>
      </c>
      <c r="AD118" s="18" t="s">
        <v>53</v>
      </c>
      <c r="AE118" s="18" t="s">
        <v>53</v>
      </c>
      <c r="AF118" s="16" t="s">
        <v>51</v>
      </c>
      <c r="AG118" s="18" t="s">
        <v>53</v>
      </c>
      <c r="AH118" s="27" t="s">
        <v>53</v>
      </c>
      <c r="AI118" s="18" t="s">
        <v>53</v>
      </c>
      <c r="AJ118" s="16" t="s">
        <v>51</v>
      </c>
      <c r="AK118" s="18" t="s">
        <v>53</v>
      </c>
      <c r="AL118" s="28" t="s">
        <v>51</v>
      </c>
      <c r="AM118" s="16" t="s">
        <v>51</v>
      </c>
      <c r="AN118" s="18" t="s">
        <v>53</v>
      </c>
      <c r="AO118" s="18" t="s">
        <v>53</v>
      </c>
      <c r="AP118" s="16" t="s">
        <v>51</v>
      </c>
      <c r="AQ118" s="16" t="s">
        <v>51</v>
      </c>
      <c r="AR118" s="5">
        <f t="shared" si="8"/>
        <v>26</v>
      </c>
      <c r="AS118" s="5">
        <f t="shared" si="9"/>
        <v>15</v>
      </c>
      <c r="AT118" s="5">
        <f t="shared" si="10"/>
        <v>1</v>
      </c>
      <c r="AU118">
        <f t="shared" si="11"/>
        <v>0</v>
      </c>
      <c r="AV118">
        <f t="shared" si="12"/>
        <v>0</v>
      </c>
      <c r="AW118">
        <f t="shared" si="13"/>
        <v>42</v>
      </c>
    </row>
    <row r="119" spans="1:49" x14ac:dyDescent="0.35">
      <c r="A119" s="5" t="s">
        <v>170</v>
      </c>
      <c r="B119" s="16" t="s">
        <v>50</v>
      </c>
      <c r="C119" s="16" t="s">
        <v>50</v>
      </c>
      <c r="D119" s="16" t="s">
        <v>50</v>
      </c>
      <c r="E119" s="16" t="s">
        <v>50</v>
      </c>
      <c r="F119" s="16" t="s">
        <v>50</v>
      </c>
      <c r="G119" s="16" t="s">
        <v>50</v>
      </c>
      <c r="H119" s="16" t="s">
        <v>50</v>
      </c>
      <c r="I119" s="16" t="s">
        <v>50</v>
      </c>
      <c r="J119" s="16" t="s">
        <v>50</v>
      </c>
      <c r="K119" s="27" t="s">
        <v>53</v>
      </c>
      <c r="L119" s="16" t="s">
        <v>50</v>
      </c>
      <c r="M119" s="26" t="s">
        <v>51</v>
      </c>
      <c r="N119" s="16" t="s">
        <v>50</v>
      </c>
      <c r="O119" s="16" t="s">
        <v>51</v>
      </c>
      <c r="P119" s="16" t="s">
        <v>50</v>
      </c>
      <c r="Q119" s="16" t="s">
        <v>50</v>
      </c>
      <c r="R119" s="16" t="s">
        <v>50</v>
      </c>
      <c r="S119" s="16" t="s">
        <v>50</v>
      </c>
      <c r="T119" s="16" t="s">
        <v>50</v>
      </c>
      <c r="U119" s="16" t="s">
        <v>50</v>
      </c>
      <c r="V119" s="16" t="s">
        <v>50</v>
      </c>
      <c r="W119" s="16" t="s">
        <v>51</v>
      </c>
      <c r="X119" s="16" t="s">
        <v>50</v>
      </c>
      <c r="Y119" s="16" t="s">
        <v>50</v>
      </c>
      <c r="Z119" s="16" t="s">
        <v>50</v>
      </c>
      <c r="AA119" s="16" t="s">
        <v>50</v>
      </c>
      <c r="AB119" s="16" t="s">
        <v>50</v>
      </c>
      <c r="AC119" s="16" t="s">
        <v>50</v>
      </c>
      <c r="AD119" s="18" t="s">
        <v>53</v>
      </c>
      <c r="AE119" s="16" t="s">
        <v>50</v>
      </c>
      <c r="AF119" s="16" t="s">
        <v>50</v>
      </c>
      <c r="AG119" s="16" t="s">
        <v>50</v>
      </c>
      <c r="AH119" s="16" t="s">
        <v>50</v>
      </c>
      <c r="AI119" s="16" t="s">
        <v>50</v>
      </c>
      <c r="AJ119" s="16" t="s">
        <v>50</v>
      </c>
      <c r="AK119" s="16" t="s">
        <v>50</v>
      </c>
      <c r="AL119" s="16" t="s">
        <v>50</v>
      </c>
      <c r="AM119" s="16" t="s">
        <v>50</v>
      </c>
      <c r="AN119" s="16" t="s">
        <v>50</v>
      </c>
      <c r="AO119" s="16" t="s">
        <v>50</v>
      </c>
      <c r="AP119" s="16" t="s">
        <v>50</v>
      </c>
      <c r="AQ119" s="16" t="s">
        <v>50</v>
      </c>
      <c r="AR119" s="5">
        <f t="shared" si="8"/>
        <v>2</v>
      </c>
      <c r="AS119" s="5">
        <f t="shared" si="9"/>
        <v>3</v>
      </c>
      <c r="AT119" s="5">
        <f t="shared" si="10"/>
        <v>37</v>
      </c>
      <c r="AU119">
        <f t="shared" si="11"/>
        <v>0</v>
      </c>
      <c r="AV119">
        <f t="shared" si="12"/>
        <v>0</v>
      </c>
      <c r="AW119">
        <f t="shared" si="13"/>
        <v>42</v>
      </c>
    </row>
    <row r="120" spans="1:49" ht="29" x14ac:dyDescent="0.35">
      <c r="A120" s="7" t="s">
        <v>171</v>
      </c>
      <c r="B120" s="18" t="s">
        <v>53</v>
      </c>
      <c r="C120" s="16" t="s">
        <v>50</v>
      </c>
      <c r="D120" s="16" t="s">
        <v>50</v>
      </c>
      <c r="E120" s="16" t="s">
        <v>50</v>
      </c>
      <c r="F120" s="16" t="s">
        <v>50</v>
      </c>
      <c r="G120" s="18" t="s">
        <v>53</v>
      </c>
      <c r="H120" s="16" t="s">
        <v>50</v>
      </c>
      <c r="I120" s="16" t="s">
        <v>50</v>
      </c>
      <c r="J120" s="27" t="s">
        <v>53</v>
      </c>
      <c r="K120" s="31" t="s">
        <v>53</v>
      </c>
      <c r="L120" s="16" t="s">
        <v>50</v>
      </c>
      <c r="M120" s="16" t="s">
        <v>50</v>
      </c>
      <c r="N120" s="16" t="s">
        <v>51</v>
      </c>
      <c r="O120" s="18" t="s">
        <v>53</v>
      </c>
      <c r="P120" s="16" t="s">
        <v>50</v>
      </c>
      <c r="Q120" s="18" t="s">
        <v>53</v>
      </c>
      <c r="R120" s="16" t="s">
        <v>50</v>
      </c>
      <c r="S120" s="18" t="s">
        <v>53</v>
      </c>
      <c r="T120" s="16" t="s">
        <v>50</v>
      </c>
      <c r="U120" s="26" t="s">
        <v>50</v>
      </c>
      <c r="V120" s="18" t="s">
        <v>53</v>
      </c>
      <c r="W120" s="16" t="s">
        <v>50</v>
      </c>
      <c r="X120" s="16" t="s">
        <v>50</v>
      </c>
      <c r="Y120" s="18" t="s">
        <v>53</v>
      </c>
      <c r="Z120" s="18" t="s">
        <v>53</v>
      </c>
      <c r="AA120" s="16" t="s">
        <v>50</v>
      </c>
      <c r="AB120" s="16" t="s">
        <v>50</v>
      </c>
      <c r="AC120" s="18" t="s">
        <v>53</v>
      </c>
      <c r="AD120" s="21" t="s">
        <v>50</v>
      </c>
      <c r="AE120" s="16" t="s">
        <v>51</v>
      </c>
      <c r="AF120" s="16" t="s">
        <v>50</v>
      </c>
      <c r="AG120" s="16" t="s">
        <v>50</v>
      </c>
      <c r="AH120" s="16" t="s">
        <v>50</v>
      </c>
      <c r="AI120" s="16" t="s">
        <v>50</v>
      </c>
      <c r="AJ120" s="16" t="s">
        <v>50</v>
      </c>
      <c r="AK120" s="16" t="s">
        <v>50</v>
      </c>
      <c r="AL120" s="16" t="s">
        <v>50</v>
      </c>
      <c r="AM120" s="18" t="s">
        <v>53</v>
      </c>
      <c r="AN120" s="16" t="s">
        <v>50</v>
      </c>
      <c r="AO120" s="18" t="s">
        <v>53</v>
      </c>
      <c r="AP120" s="16" t="s">
        <v>50</v>
      </c>
      <c r="AQ120" s="16" t="s">
        <v>50</v>
      </c>
      <c r="AR120" s="5">
        <f t="shared" si="8"/>
        <v>13</v>
      </c>
      <c r="AS120" s="5">
        <f t="shared" si="9"/>
        <v>2</v>
      </c>
      <c r="AT120" s="5">
        <f t="shared" si="10"/>
        <v>27</v>
      </c>
      <c r="AU120">
        <f t="shared" si="11"/>
        <v>0</v>
      </c>
      <c r="AV120">
        <f t="shared" si="12"/>
        <v>0</v>
      </c>
      <c r="AW120">
        <f t="shared" si="13"/>
        <v>42</v>
      </c>
    </row>
    <row r="121" spans="1:49" x14ac:dyDescent="0.35">
      <c r="A121" s="7" t="s">
        <v>172</v>
      </c>
      <c r="B121" s="16" t="s">
        <v>50</v>
      </c>
      <c r="C121" s="16" t="s">
        <v>50</v>
      </c>
      <c r="D121" s="16" t="s">
        <v>50</v>
      </c>
      <c r="E121" s="16" t="s">
        <v>50</v>
      </c>
      <c r="F121" s="16" t="s">
        <v>50</v>
      </c>
      <c r="G121" s="18" t="s">
        <v>53</v>
      </c>
      <c r="H121" s="16" t="s">
        <v>50</v>
      </c>
      <c r="I121" s="18" t="s">
        <v>53</v>
      </c>
      <c r="J121" s="16" t="s">
        <v>50</v>
      </c>
      <c r="K121" s="16" t="s">
        <v>50</v>
      </c>
      <c r="L121" s="16" t="s">
        <v>50</v>
      </c>
      <c r="M121" s="16" t="s">
        <v>50</v>
      </c>
      <c r="N121" s="16" t="s">
        <v>50</v>
      </c>
      <c r="O121" s="16" t="s">
        <v>50</v>
      </c>
      <c r="P121" s="16" t="s">
        <v>50</v>
      </c>
      <c r="Q121" s="16" t="s">
        <v>50</v>
      </c>
      <c r="R121" s="16" t="s">
        <v>50</v>
      </c>
      <c r="S121" s="16" t="s">
        <v>50</v>
      </c>
      <c r="T121" s="16" t="s">
        <v>50</v>
      </c>
      <c r="U121" s="16" t="s">
        <v>50</v>
      </c>
      <c r="V121" s="16" t="s">
        <v>50</v>
      </c>
      <c r="W121" s="16" t="s">
        <v>50</v>
      </c>
      <c r="X121" s="16" t="s">
        <v>50</v>
      </c>
      <c r="Y121" s="16" t="s">
        <v>50</v>
      </c>
      <c r="Z121" s="16" t="s">
        <v>50</v>
      </c>
      <c r="AA121" s="16" t="s">
        <v>50</v>
      </c>
      <c r="AB121" s="16" t="s">
        <v>50</v>
      </c>
      <c r="AC121" s="16" t="s">
        <v>50</v>
      </c>
      <c r="AD121" s="16" t="s">
        <v>50</v>
      </c>
      <c r="AE121" s="16" t="s">
        <v>50</v>
      </c>
      <c r="AF121" s="16" t="s">
        <v>50</v>
      </c>
      <c r="AG121" s="16" t="s">
        <v>50</v>
      </c>
      <c r="AH121" s="18" t="s">
        <v>53</v>
      </c>
      <c r="AI121" s="16" t="s">
        <v>50</v>
      </c>
      <c r="AJ121" s="16" t="s">
        <v>50</v>
      </c>
      <c r="AK121" s="16" t="s">
        <v>50</v>
      </c>
      <c r="AL121" s="16" t="s">
        <v>50</v>
      </c>
      <c r="AM121" s="27" t="s">
        <v>53</v>
      </c>
      <c r="AN121" s="16" t="s">
        <v>50</v>
      </c>
      <c r="AO121" s="16" t="s">
        <v>50</v>
      </c>
      <c r="AP121" s="16" t="s">
        <v>50</v>
      </c>
      <c r="AQ121" s="16" t="s">
        <v>50</v>
      </c>
      <c r="AR121" s="5">
        <f t="shared" si="8"/>
        <v>4</v>
      </c>
      <c r="AS121" s="5">
        <f t="shared" si="9"/>
        <v>0</v>
      </c>
      <c r="AT121" s="5">
        <f t="shared" si="10"/>
        <v>38</v>
      </c>
      <c r="AU121">
        <f t="shared" si="11"/>
        <v>0</v>
      </c>
      <c r="AV121">
        <f t="shared" si="12"/>
        <v>0</v>
      </c>
      <c r="AW121">
        <f t="shared" si="13"/>
        <v>42</v>
      </c>
    </row>
    <row r="122" spans="1:49" x14ac:dyDescent="0.35">
      <c r="A122" s="7" t="s">
        <v>173</v>
      </c>
      <c r="B122" s="16" t="s">
        <v>50</v>
      </c>
      <c r="C122" s="16" t="s">
        <v>50</v>
      </c>
      <c r="D122" s="16" t="s">
        <v>51</v>
      </c>
      <c r="E122" s="16" t="s">
        <v>50</v>
      </c>
      <c r="F122" s="16" t="s">
        <v>50</v>
      </c>
      <c r="G122" s="16" t="s">
        <v>50</v>
      </c>
      <c r="H122" s="16" t="s">
        <v>50</v>
      </c>
      <c r="I122" s="16" t="s">
        <v>50</v>
      </c>
      <c r="J122" s="16" t="s">
        <v>50</v>
      </c>
      <c r="K122" s="16" t="s">
        <v>50</v>
      </c>
      <c r="L122" s="16" t="s">
        <v>50</v>
      </c>
      <c r="M122" s="16" t="s">
        <v>50</v>
      </c>
      <c r="N122" s="16" t="s">
        <v>50</v>
      </c>
      <c r="O122" s="16" t="s">
        <v>50</v>
      </c>
      <c r="P122" s="16" t="s">
        <v>50</v>
      </c>
      <c r="Q122" s="16" t="s">
        <v>50</v>
      </c>
      <c r="R122" s="16" t="s">
        <v>50</v>
      </c>
      <c r="S122" s="16" t="s">
        <v>50</v>
      </c>
      <c r="T122" s="26" t="s">
        <v>50</v>
      </c>
      <c r="U122" s="16" t="s">
        <v>51</v>
      </c>
      <c r="V122" s="16" t="s">
        <v>50</v>
      </c>
      <c r="W122" s="16" t="s">
        <v>50</v>
      </c>
      <c r="X122" s="16" t="s">
        <v>50</v>
      </c>
      <c r="Y122" s="16" t="s">
        <v>50</v>
      </c>
      <c r="Z122" s="16" t="s">
        <v>50</v>
      </c>
      <c r="AA122" s="16" t="s">
        <v>50</v>
      </c>
      <c r="AB122" s="16" t="s">
        <v>50</v>
      </c>
      <c r="AC122" s="16" t="s">
        <v>50</v>
      </c>
      <c r="AD122" s="16" t="s">
        <v>50</v>
      </c>
      <c r="AE122" s="16" t="s">
        <v>50</v>
      </c>
      <c r="AF122" s="16" t="s">
        <v>50</v>
      </c>
      <c r="AG122" s="16" t="s">
        <v>50</v>
      </c>
      <c r="AH122" s="16" t="s">
        <v>50</v>
      </c>
      <c r="AI122" s="16" t="s">
        <v>50</v>
      </c>
      <c r="AJ122" s="16" t="s">
        <v>50</v>
      </c>
      <c r="AK122" s="16" t="s">
        <v>50</v>
      </c>
      <c r="AL122" s="16" t="s">
        <v>50</v>
      </c>
      <c r="AM122" s="16" t="s">
        <v>50</v>
      </c>
      <c r="AN122" s="16" t="s">
        <v>50</v>
      </c>
      <c r="AO122" s="16" t="s">
        <v>50</v>
      </c>
      <c r="AP122" s="16" t="s">
        <v>50</v>
      </c>
      <c r="AQ122" s="16" t="s">
        <v>50</v>
      </c>
      <c r="AR122" s="5">
        <f t="shared" si="8"/>
        <v>0</v>
      </c>
      <c r="AS122" s="5">
        <f t="shared" si="9"/>
        <v>2</v>
      </c>
      <c r="AT122" s="5">
        <f t="shared" si="10"/>
        <v>40</v>
      </c>
      <c r="AU122">
        <f t="shared" si="11"/>
        <v>0</v>
      </c>
      <c r="AV122">
        <f t="shared" si="12"/>
        <v>0</v>
      </c>
      <c r="AW122">
        <f t="shared" si="13"/>
        <v>42</v>
      </c>
    </row>
    <row r="123" spans="1:49" x14ac:dyDescent="0.35">
      <c r="A123" s="5" t="s">
        <v>174</v>
      </c>
      <c r="B123" s="18" t="s">
        <v>53</v>
      </c>
      <c r="C123" s="16" t="s">
        <v>50</v>
      </c>
      <c r="D123" s="31" t="s">
        <v>53</v>
      </c>
      <c r="E123" s="18" t="s">
        <v>53</v>
      </c>
      <c r="F123" s="16" t="s">
        <v>50</v>
      </c>
      <c r="G123" s="34" t="s">
        <v>50</v>
      </c>
      <c r="H123" s="18" t="s">
        <v>53</v>
      </c>
      <c r="I123" s="16" t="s">
        <v>50</v>
      </c>
      <c r="J123" s="27" t="s">
        <v>53</v>
      </c>
      <c r="K123" s="27" t="s">
        <v>53</v>
      </c>
      <c r="L123" s="16" t="s">
        <v>50</v>
      </c>
      <c r="M123" s="18" t="s">
        <v>53</v>
      </c>
      <c r="N123" s="31" t="s">
        <v>53</v>
      </c>
      <c r="O123" s="31" t="s">
        <v>53</v>
      </c>
      <c r="P123" s="16" t="s">
        <v>50</v>
      </c>
      <c r="Q123" s="31" t="s">
        <v>53</v>
      </c>
      <c r="R123" s="18" t="s">
        <v>53</v>
      </c>
      <c r="S123" s="18" t="s">
        <v>53</v>
      </c>
      <c r="T123" s="18" t="s">
        <v>53</v>
      </c>
      <c r="U123" s="16" t="s">
        <v>63</v>
      </c>
      <c r="V123" s="16" t="s">
        <v>50</v>
      </c>
      <c r="W123" s="31" t="s">
        <v>53</v>
      </c>
      <c r="X123" s="16" t="s">
        <v>50</v>
      </c>
      <c r="Y123" s="18" t="s">
        <v>53</v>
      </c>
      <c r="Z123" s="18" t="s">
        <v>53</v>
      </c>
      <c r="AA123" s="18" t="s">
        <v>53</v>
      </c>
      <c r="AB123" s="18" t="s">
        <v>53</v>
      </c>
      <c r="AC123" s="18" t="s">
        <v>53</v>
      </c>
      <c r="AD123" s="25" t="s">
        <v>53</v>
      </c>
      <c r="AE123" s="18" t="s">
        <v>53</v>
      </c>
      <c r="AF123" s="16" t="s">
        <v>50</v>
      </c>
      <c r="AG123" s="16" t="s">
        <v>50</v>
      </c>
      <c r="AH123" s="27" t="s">
        <v>53</v>
      </c>
      <c r="AI123" s="18" t="s">
        <v>53</v>
      </c>
      <c r="AJ123" s="16" t="s">
        <v>50</v>
      </c>
      <c r="AK123" s="16" t="s">
        <v>50</v>
      </c>
      <c r="AL123" s="16" t="s">
        <v>50</v>
      </c>
      <c r="AM123" s="18" t="s">
        <v>53</v>
      </c>
      <c r="AN123" s="18" t="s">
        <v>53</v>
      </c>
      <c r="AO123" s="18" t="s">
        <v>53</v>
      </c>
      <c r="AP123" s="16" t="s">
        <v>50</v>
      </c>
      <c r="AQ123" s="18" t="s">
        <v>53</v>
      </c>
      <c r="AR123" s="5">
        <f t="shared" si="8"/>
        <v>27</v>
      </c>
      <c r="AS123" s="5">
        <f t="shared" si="9"/>
        <v>0</v>
      </c>
      <c r="AT123" s="5">
        <f t="shared" si="10"/>
        <v>14</v>
      </c>
      <c r="AU123">
        <f t="shared" si="11"/>
        <v>1</v>
      </c>
      <c r="AV123">
        <f t="shared" si="12"/>
        <v>0</v>
      </c>
      <c r="AW123">
        <f t="shared" si="13"/>
        <v>42</v>
      </c>
    </row>
    <row r="124" spans="1:49" x14ac:dyDescent="0.35">
      <c r="A124" s="5" t="s">
        <v>175</v>
      </c>
      <c r="B124" s="16" t="s">
        <v>51</v>
      </c>
      <c r="C124" s="32" t="s">
        <v>51</v>
      </c>
      <c r="D124" s="16" t="s">
        <v>51</v>
      </c>
      <c r="E124" s="26" t="s">
        <v>51</v>
      </c>
      <c r="F124" s="16" t="s">
        <v>50</v>
      </c>
      <c r="G124" s="34" t="s">
        <v>50</v>
      </c>
      <c r="H124" s="26" t="s">
        <v>51</v>
      </c>
      <c r="I124" s="27" t="s">
        <v>53</v>
      </c>
      <c r="J124" s="16" t="s">
        <v>51</v>
      </c>
      <c r="K124" s="18" t="s">
        <v>53</v>
      </c>
      <c r="L124" s="16" t="s">
        <v>50</v>
      </c>
      <c r="M124" s="18" t="s">
        <v>53</v>
      </c>
      <c r="N124" s="34" t="s">
        <v>51</v>
      </c>
      <c r="O124" s="18" t="s">
        <v>53</v>
      </c>
      <c r="P124" s="16" t="s">
        <v>50</v>
      </c>
      <c r="Q124" s="16" t="s">
        <v>51</v>
      </c>
      <c r="R124" s="26" t="s">
        <v>51</v>
      </c>
      <c r="S124" s="18" t="s">
        <v>53</v>
      </c>
      <c r="T124" s="26" t="s">
        <v>51</v>
      </c>
      <c r="U124" s="26" t="s">
        <v>63</v>
      </c>
      <c r="V124" s="26" t="s">
        <v>52</v>
      </c>
      <c r="W124" s="16" t="s">
        <v>51</v>
      </c>
      <c r="X124" s="16" t="s">
        <v>50</v>
      </c>
      <c r="Y124" s="16" t="s">
        <v>51</v>
      </c>
      <c r="Z124" s="18" t="s">
        <v>53</v>
      </c>
      <c r="AA124" s="26" t="s">
        <v>51</v>
      </c>
      <c r="AB124" s="18" t="s">
        <v>53</v>
      </c>
      <c r="AC124" s="18" t="s">
        <v>53</v>
      </c>
      <c r="AD124" s="18" t="s">
        <v>53</v>
      </c>
      <c r="AE124" s="18" t="s">
        <v>53</v>
      </c>
      <c r="AF124" s="26" t="s">
        <v>51</v>
      </c>
      <c r="AG124" s="16" t="s">
        <v>50</v>
      </c>
      <c r="AH124" s="18" t="s">
        <v>53</v>
      </c>
      <c r="AI124" s="16" t="s">
        <v>51</v>
      </c>
      <c r="AJ124" s="16" t="s">
        <v>51</v>
      </c>
      <c r="AK124" s="16" t="s">
        <v>50</v>
      </c>
      <c r="AL124" s="16" t="s">
        <v>51</v>
      </c>
      <c r="AM124" s="27" t="s">
        <v>53</v>
      </c>
      <c r="AN124" s="26" t="s">
        <v>51</v>
      </c>
      <c r="AO124" s="18" t="s">
        <v>53</v>
      </c>
      <c r="AP124" s="16" t="s">
        <v>50</v>
      </c>
      <c r="AQ124" s="16" t="s">
        <v>51</v>
      </c>
      <c r="AR124" s="5">
        <f t="shared" si="8"/>
        <v>13</v>
      </c>
      <c r="AS124" s="5">
        <f t="shared" si="9"/>
        <v>19</v>
      </c>
      <c r="AT124" s="5">
        <f t="shared" si="10"/>
        <v>8</v>
      </c>
      <c r="AU124">
        <f t="shared" si="11"/>
        <v>1</v>
      </c>
      <c r="AV124">
        <f t="shared" si="12"/>
        <v>1</v>
      </c>
      <c r="AW124">
        <f t="shared" si="13"/>
        <v>41</v>
      </c>
    </row>
    <row r="125" spans="1:49" x14ac:dyDescent="0.35">
      <c r="A125" s="5" t="s">
        <v>176</v>
      </c>
      <c r="B125" s="16" t="s">
        <v>50</v>
      </c>
      <c r="C125" s="16" t="s">
        <v>50</v>
      </c>
      <c r="D125" s="16" t="s">
        <v>50</v>
      </c>
      <c r="E125" s="16" t="s">
        <v>50</v>
      </c>
      <c r="F125" s="16" t="s">
        <v>50</v>
      </c>
      <c r="G125" s="18" t="s">
        <v>53</v>
      </c>
      <c r="H125" s="16" t="s">
        <v>50</v>
      </c>
      <c r="I125" s="16" t="s">
        <v>50</v>
      </c>
      <c r="J125" s="16" t="s">
        <v>50</v>
      </c>
      <c r="K125" s="18" t="s">
        <v>53</v>
      </c>
      <c r="L125" s="16" t="s">
        <v>50</v>
      </c>
      <c r="M125" s="16" t="s">
        <v>50</v>
      </c>
      <c r="N125" s="16" t="s">
        <v>50</v>
      </c>
      <c r="O125" s="16" t="s">
        <v>50</v>
      </c>
      <c r="P125" s="16" t="s">
        <v>50</v>
      </c>
      <c r="Q125" s="18" t="s">
        <v>53</v>
      </c>
      <c r="R125" s="18" t="s">
        <v>53</v>
      </c>
      <c r="S125" s="16" t="s">
        <v>50</v>
      </c>
      <c r="T125" s="16" t="s">
        <v>50</v>
      </c>
      <c r="U125" s="16" t="s">
        <v>50</v>
      </c>
      <c r="V125" s="16" t="s">
        <v>50</v>
      </c>
      <c r="W125" s="16" t="s">
        <v>50</v>
      </c>
      <c r="X125" s="16" t="s">
        <v>50</v>
      </c>
      <c r="Y125" s="16" t="s">
        <v>50</v>
      </c>
      <c r="Z125" s="16" t="s">
        <v>50</v>
      </c>
      <c r="AA125" s="16" t="s">
        <v>50</v>
      </c>
      <c r="AB125" s="16" t="s">
        <v>50</v>
      </c>
      <c r="AC125" s="16" t="s">
        <v>50</v>
      </c>
      <c r="AD125" s="21" t="s">
        <v>50</v>
      </c>
      <c r="AE125" s="16" t="s">
        <v>50</v>
      </c>
      <c r="AF125" s="16" t="s">
        <v>50</v>
      </c>
      <c r="AG125" s="16" t="s">
        <v>50</v>
      </c>
      <c r="AH125" s="16" t="s">
        <v>50</v>
      </c>
      <c r="AI125" s="16" t="s">
        <v>50</v>
      </c>
      <c r="AJ125" s="16" t="s">
        <v>50</v>
      </c>
      <c r="AK125" s="16" t="s">
        <v>50</v>
      </c>
      <c r="AL125" s="16" t="s">
        <v>50</v>
      </c>
      <c r="AM125" s="16" t="s">
        <v>50</v>
      </c>
      <c r="AN125" s="16" t="s">
        <v>50</v>
      </c>
      <c r="AO125" s="16" t="s">
        <v>50</v>
      </c>
      <c r="AP125" s="16" t="s">
        <v>50</v>
      </c>
      <c r="AQ125" s="16" t="s">
        <v>50</v>
      </c>
      <c r="AR125" s="5">
        <f t="shared" si="8"/>
        <v>4</v>
      </c>
      <c r="AS125" s="5">
        <f t="shared" si="9"/>
        <v>0</v>
      </c>
      <c r="AT125" s="5">
        <f t="shared" si="10"/>
        <v>38</v>
      </c>
      <c r="AU125">
        <f t="shared" si="11"/>
        <v>0</v>
      </c>
      <c r="AV125">
        <f t="shared" si="12"/>
        <v>0</v>
      </c>
      <c r="AW125">
        <f t="shared" si="13"/>
        <v>42</v>
      </c>
    </row>
    <row r="126" spans="1:49" x14ac:dyDescent="0.35">
      <c r="A126" s="5" t="s">
        <v>177</v>
      </c>
      <c r="B126" s="16" t="s">
        <v>51</v>
      </c>
      <c r="C126" s="18" t="s">
        <v>53</v>
      </c>
      <c r="D126" s="18" t="s">
        <v>53</v>
      </c>
      <c r="E126" s="28" t="s">
        <v>51</v>
      </c>
      <c r="F126" s="16" t="s">
        <v>51</v>
      </c>
      <c r="G126" s="18" t="s">
        <v>53</v>
      </c>
      <c r="H126" s="16" t="s">
        <v>51</v>
      </c>
      <c r="I126" s="18" t="s">
        <v>53</v>
      </c>
      <c r="J126" s="16" t="s">
        <v>51</v>
      </c>
      <c r="K126" s="16" t="s">
        <v>51</v>
      </c>
      <c r="L126" s="16" t="s">
        <v>50</v>
      </c>
      <c r="M126" s="16" t="s">
        <v>51</v>
      </c>
      <c r="N126" s="16" t="s">
        <v>50</v>
      </c>
      <c r="O126" s="16" t="s">
        <v>51</v>
      </c>
      <c r="P126" s="16" t="s">
        <v>51</v>
      </c>
      <c r="Q126" s="26" t="s">
        <v>50</v>
      </c>
      <c r="R126" s="18" t="s">
        <v>53</v>
      </c>
      <c r="S126" s="16" t="s">
        <v>51</v>
      </c>
      <c r="T126" s="18" t="s">
        <v>53</v>
      </c>
      <c r="U126" s="27" t="s">
        <v>53</v>
      </c>
      <c r="V126" s="26" t="s">
        <v>51</v>
      </c>
      <c r="W126" s="16" t="s">
        <v>51</v>
      </c>
      <c r="X126" s="16" t="s">
        <v>50</v>
      </c>
      <c r="Y126" s="16" t="s">
        <v>51</v>
      </c>
      <c r="Z126" s="18" t="s">
        <v>53</v>
      </c>
      <c r="AA126" s="16" t="s">
        <v>51</v>
      </c>
      <c r="AB126" s="16" t="s">
        <v>51</v>
      </c>
      <c r="AC126" s="27" t="s">
        <v>53</v>
      </c>
      <c r="AD126" s="28" t="s">
        <v>51</v>
      </c>
      <c r="AE126" s="16" t="s">
        <v>50</v>
      </c>
      <c r="AF126" s="16" t="s">
        <v>50</v>
      </c>
      <c r="AG126" s="16" t="s">
        <v>50</v>
      </c>
      <c r="AH126" s="18" t="s">
        <v>53</v>
      </c>
      <c r="AI126" s="16" t="s">
        <v>51</v>
      </c>
      <c r="AJ126" s="27" t="s">
        <v>53</v>
      </c>
      <c r="AK126" s="26" t="s">
        <v>51</v>
      </c>
      <c r="AL126" s="18" t="s">
        <v>53</v>
      </c>
      <c r="AM126" s="16" t="s">
        <v>51</v>
      </c>
      <c r="AN126" s="16" t="s">
        <v>50</v>
      </c>
      <c r="AO126" s="16" t="s">
        <v>51</v>
      </c>
      <c r="AP126" s="18" t="s">
        <v>53</v>
      </c>
      <c r="AQ126" s="16" t="s">
        <v>50</v>
      </c>
      <c r="AR126" s="5">
        <f t="shared" si="8"/>
        <v>13</v>
      </c>
      <c r="AS126" s="5">
        <f t="shared" si="9"/>
        <v>20</v>
      </c>
      <c r="AT126" s="5">
        <f t="shared" si="10"/>
        <v>9</v>
      </c>
      <c r="AU126">
        <f t="shared" si="11"/>
        <v>0</v>
      </c>
      <c r="AV126">
        <f t="shared" si="12"/>
        <v>0</v>
      </c>
      <c r="AW126">
        <f t="shared" si="13"/>
        <v>42</v>
      </c>
    </row>
    <row r="127" spans="1:49" x14ac:dyDescent="0.35">
      <c r="A127" s="5" t="s">
        <v>178</v>
      </c>
      <c r="B127" s="18" t="s">
        <v>53</v>
      </c>
      <c r="C127" s="16" t="s">
        <v>50</v>
      </c>
      <c r="D127" s="16" t="s">
        <v>50</v>
      </c>
      <c r="E127" s="16" t="s">
        <v>50</v>
      </c>
      <c r="F127" s="16" t="s">
        <v>50</v>
      </c>
      <c r="G127" s="18" t="s">
        <v>53</v>
      </c>
      <c r="H127" s="16" t="s">
        <v>50</v>
      </c>
      <c r="I127" s="16" t="s">
        <v>50</v>
      </c>
      <c r="J127" s="16" t="s">
        <v>50</v>
      </c>
      <c r="K127" s="16" t="s">
        <v>50</v>
      </c>
      <c r="L127" s="16" t="s">
        <v>50</v>
      </c>
      <c r="M127" s="16" t="s">
        <v>50</v>
      </c>
      <c r="N127" s="16" t="s">
        <v>50</v>
      </c>
      <c r="O127" s="16" t="s">
        <v>50</v>
      </c>
      <c r="P127" s="16" t="s">
        <v>50</v>
      </c>
      <c r="Q127" s="16" t="s">
        <v>50</v>
      </c>
      <c r="R127" s="16" t="s">
        <v>50</v>
      </c>
      <c r="S127" s="16" t="s">
        <v>50</v>
      </c>
      <c r="T127" s="16" t="s">
        <v>50</v>
      </c>
      <c r="U127" s="16" t="s">
        <v>50</v>
      </c>
      <c r="V127" s="16" t="s">
        <v>50</v>
      </c>
      <c r="W127" s="16" t="s">
        <v>50</v>
      </c>
      <c r="X127" s="16" t="s">
        <v>50</v>
      </c>
      <c r="Y127" s="16" t="s">
        <v>50</v>
      </c>
      <c r="Z127" s="16" t="s">
        <v>50</v>
      </c>
      <c r="AA127" s="16" t="s">
        <v>50</v>
      </c>
      <c r="AB127" s="16" t="s">
        <v>50</v>
      </c>
      <c r="AC127" s="18" t="s">
        <v>53</v>
      </c>
      <c r="AD127" s="21" t="s">
        <v>50</v>
      </c>
      <c r="AE127" s="18" t="s">
        <v>53</v>
      </c>
      <c r="AF127" s="16" t="s">
        <v>50</v>
      </c>
      <c r="AG127" s="16" t="s">
        <v>50</v>
      </c>
      <c r="AH127" s="16" t="s">
        <v>50</v>
      </c>
      <c r="AI127" s="16" t="s">
        <v>50</v>
      </c>
      <c r="AJ127" s="16" t="s">
        <v>50</v>
      </c>
      <c r="AK127" s="16" t="s">
        <v>50</v>
      </c>
      <c r="AL127" s="16" t="s">
        <v>50</v>
      </c>
      <c r="AM127" s="16" t="s">
        <v>50</v>
      </c>
      <c r="AN127" s="16" t="s">
        <v>50</v>
      </c>
      <c r="AO127" s="16" t="s">
        <v>50</v>
      </c>
      <c r="AP127" s="16" t="s">
        <v>50</v>
      </c>
      <c r="AQ127" s="16" t="s">
        <v>50</v>
      </c>
      <c r="AR127" s="5">
        <f t="shared" si="8"/>
        <v>4</v>
      </c>
      <c r="AS127" s="5">
        <f t="shared" si="9"/>
        <v>0</v>
      </c>
      <c r="AT127" s="5">
        <f t="shared" si="10"/>
        <v>38</v>
      </c>
      <c r="AU127">
        <f t="shared" si="11"/>
        <v>0</v>
      </c>
      <c r="AV127">
        <f t="shared" si="12"/>
        <v>0</v>
      </c>
      <c r="AW127">
        <f t="shared" si="13"/>
        <v>42</v>
      </c>
    </row>
    <row r="128" spans="1:49" x14ac:dyDescent="0.35">
      <c r="A128" s="5" t="s">
        <v>179</v>
      </c>
      <c r="B128" s="16" t="s">
        <v>50</v>
      </c>
      <c r="C128" s="16" t="s">
        <v>50</v>
      </c>
      <c r="D128" s="16" t="s">
        <v>50</v>
      </c>
      <c r="E128" s="18" t="s">
        <v>53</v>
      </c>
      <c r="F128" s="27" t="s">
        <v>53</v>
      </c>
      <c r="G128" s="35" t="s">
        <v>50</v>
      </c>
      <c r="H128" s="18" t="s">
        <v>53</v>
      </c>
      <c r="I128" s="16" t="s">
        <v>50</v>
      </c>
      <c r="J128" s="16" t="s">
        <v>50</v>
      </c>
      <c r="K128" s="18" t="s">
        <v>53</v>
      </c>
      <c r="L128" s="16" t="s">
        <v>50</v>
      </c>
      <c r="M128" s="16" t="s">
        <v>50</v>
      </c>
      <c r="N128" s="18" t="s">
        <v>53</v>
      </c>
      <c r="O128" s="18" t="s">
        <v>53</v>
      </c>
      <c r="P128" s="18" t="s">
        <v>53</v>
      </c>
      <c r="Q128" s="18" t="s">
        <v>53</v>
      </c>
      <c r="R128" s="16" t="s">
        <v>50</v>
      </c>
      <c r="S128" s="18" t="s">
        <v>53</v>
      </c>
      <c r="T128" s="27" t="s">
        <v>53</v>
      </c>
      <c r="U128" s="16" t="s">
        <v>50</v>
      </c>
      <c r="V128" s="16" t="s">
        <v>50</v>
      </c>
      <c r="W128" s="18" t="s">
        <v>53</v>
      </c>
      <c r="X128" s="18" t="s">
        <v>53</v>
      </c>
      <c r="Y128" s="16" t="s">
        <v>50</v>
      </c>
      <c r="Z128" s="18" t="s">
        <v>53</v>
      </c>
      <c r="AA128" s="16" t="s">
        <v>50</v>
      </c>
      <c r="AB128" s="16" t="s">
        <v>50</v>
      </c>
      <c r="AC128" s="27" t="s">
        <v>53</v>
      </c>
      <c r="AD128" s="18" t="s">
        <v>53</v>
      </c>
      <c r="AE128" s="18" t="s">
        <v>53</v>
      </c>
      <c r="AF128" s="16" t="s">
        <v>50</v>
      </c>
      <c r="AG128" s="16" t="s">
        <v>50</v>
      </c>
      <c r="AH128" s="18" t="s">
        <v>53</v>
      </c>
      <c r="AI128" s="18" t="s">
        <v>53</v>
      </c>
      <c r="AJ128" s="16" t="s">
        <v>50</v>
      </c>
      <c r="AK128" s="16" t="s">
        <v>50</v>
      </c>
      <c r="AL128" s="18" t="s">
        <v>53</v>
      </c>
      <c r="AM128" s="31" t="s">
        <v>53</v>
      </c>
      <c r="AN128" s="16" t="s">
        <v>50</v>
      </c>
      <c r="AO128" s="16" t="s">
        <v>50</v>
      </c>
      <c r="AP128" s="16" t="s">
        <v>50</v>
      </c>
      <c r="AQ128" s="27" t="s">
        <v>53</v>
      </c>
      <c r="AR128" s="5">
        <f t="shared" si="8"/>
        <v>21</v>
      </c>
      <c r="AS128" s="5">
        <f t="shared" si="9"/>
        <v>0</v>
      </c>
      <c r="AT128" s="5">
        <f t="shared" si="10"/>
        <v>21</v>
      </c>
      <c r="AU128">
        <f t="shared" si="11"/>
        <v>0</v>
      </c>
      <c r="AV128">
        <f t="shared" si="12"/>
        <v>0</v>
      </c>
      <c r="AW128">
        <f t="shared" si="13"/>
        <v>42</v>
      </c>
    </row>
    <row r="129" spans="1:49" x14ac:dyDescent="0.35">
      <c r="A129" s="5" t="s">
        <v>180</v>
      </c>
      <c r="B129" s="18" t="s">
        <v>53</v>
      </c>
      <c r="C129" s="18" t="s">
        <v>53</v>
      </c>
      <c r="D129" s="18" t="s">
        <v>53</v>
      </c>
      <c r="E129" s="18" t="s">
        <v>53</v>
      </c>
      <c r="F129" s="18" t="s">
        <v>53</v>
      </c>
      <c r="G129" s="18" t="s">
        <v>53</v>
      </c>
      <c r="H129" s="18" t="s">
        <v>53</v>
      </c>
      <c r="I129" s="18" t="s">
        <v>53</v>
      </c>
      <c r="J129" s="18" t="s">
        <v>53</v>
      </c>
      <c r="K129" s="18" t="s">
        <v>53</v>
      </c>
      <c r="L129" s="18" t="s">
        <v>53</v>
      </c>
      <c r="M129" s="18" t="s">
        <v>53</v>
      </c>
      <c r="N129" s="18" t="s">
        <v>53</v>
      </c>
      <c r="O129" s="18" t="s">
        <v>53</v>
      </c>
      <c r="P129" s="18" t="s">
        <v>53</v>
      </c>
      <c r="Q129" s="18" t="s">
        <v>53</v>
      </c>
      <c r="R129" s="18" t="s">
        <v>53</v>
      </c>
      <c r="S129" s="18" t="s">
        <v>53</v>
      </c>
      <c r="T129" s="18" t="s">
        <v>53</v>
      </c>
      <c r="U129" s="18" t="s">
        <v>53</v>
      </c>
      <c r="V129" s="18" t="s">
        <v>53</v>
      </c>
      <c r="W129" s="18" t="s">
        <v>53</v>
      </c>
      <c r="X129" s="18" t="s">
        <v>53</v>
      </c>
      <c r="Y129" s="18" t="s">
        <v>53</v>
      </c>
      <c r="Z129" s="18" t="s">
        <v>53</v>
      </c>
      <c r="AA129" s="18" t="s">
        <v>53</v>
      </c>
      <c r="AB129" s="18" t="s">
        <v>53</v>
      </c>
      <c r="AC129" s="18" t="s">
        <v>53</v>
      </c>
      <c r="AD129" s="25" t="s">
        <v>53</v>
      </c>
      <c r="AE129" s="18" t="s">
        <v>53</v>
      </c>
      <c r="AF129" s="18" t="s">
        <v>53</v>
      </c>
      <c r="AG129" s="18" t="s">
        <v>53</v>
      </c>
      <c r="AH129" s="18" t="s">
        <v>53</v>
      </c>
      <c r="AI129" s="18" t="s">
        <v>53</v>
      </c>
      <c r="AJ129" s="18" t="s">
        <v>53</v>
      </c>
      <c r="AK129" s="18" t="s">
        <v>53</v>
      </c>
      <c r="AL129" s="18" t="s">
        <v>53</v>
      </c>
      <c r="AM129" s="18" t="s">
        <v>53</v>
      </c>
      <c r="AN129" s="18" t="s">
        <v>53</v>
      </c>
      <c r="AO129" s="18" t="s">
        <v>53</v>
      </c>
      <c r="AP129" s="18" t="s">
        <v>53</v>
      </c>
      <c r="AQ129" s="18" t="s">
        <v>53</v>
      </c>
      <c r="AR129" s="5">
        <f t="shared" si="8"/>
        <v>42</v>
      </c>
      <c r="AS129" s="5">
        <f t="shared" si="9"/>
        <v>0</v>
      </c>
      <c r="AT129" s="5">
        <f t="shared" si="10"/>
        <v>0</v>
      </c>
      <c r="AU129">
        <f t="shared" si="11"/>
        <v>0</v>
      </c>
      <c r="AV129">
        <f t="shared" si="12"/>
        <v>0</v>
      </c>
      <c r="AW129">
        <f t="shared" si="13"/>
        <v>42</v>
      </c>
    </row>
    <row r="130" spans="1:49" x14ac:dyDescent="0.35">
      <c r="A130" s="5" t="s">
        <v>181</v>
      </c>
      <c r="B130" s="27" t="s">
        <v>53</v>
      </c>
      <c r="C130" s="18" t="s">
        <v>53</v>
      </c>
      <c r="D130" s="18" t="s">
        <v>53</v>
      </c>
      <c r="E130" s="31" t="s">
        <v>53</v>
      </c>
      <c r="F130" s="18" t="s">
        <v>53</v>
      </c>
      <c r="G130" s="31" t="s">
        <v>53</v>
      </c>
      <c r="H130" s="18" t="s">
        <v>53</v>
      </c>
      <c r="I130" s="27" t="s">
        <v>53</v>
      </c>
      <c r="J130" s="16" t="s">
        <v>50</v>
      </c>
      <c r="K130" s="18" t="s">
        <v>53</v>
      </c>
      <c r="L130" s="18" t="s">
        <v>53</v>
      </c>
      <c r="M130" s="18" t="s">
        <v>53</v>
      </c>
      <c r="N130" s="18" t="s">
        <v>53</v>
      </c>
      <c r="O130" s="18" t="s">
        <v>53</v>
      </c>
      <c r="P130" s="18" t="s">
        <v>53</v>
      </c>
      <c r="Q130" s="16" t="s">
        <v>50</v>
      </c>
      <c r="R130" s="18" t="s">
        <v>53</v>
      </c>
      <c r="S130" s="18" t="s">
        <v>53</v>
      </c>
      <c r="T130" s="27" t="s">
        <v>53</v>
      </c>
      <c r="U130" s="27" t="s">
        <v>53</v>
      </c>
      <c r="V130" s="27" t="s">
        <v>53</v>
      </c>
      <c r="W130" s="18" t="s">
        <v>53</v>
      </c>
      <c r="X130" s="16" t="s">
        <v>50</v>
      </c>
      <c r="Y130" s="16" t="s">
        <v>50</v>
      </c>
      <c r="Z130" s="18" t="s">
        <v>53</v>
      </c>
      <c r="AA130" s="16" t="s">
        <v>50</v>
      </c>
      <c r="AB130" s="16" t="s">
        <v>50</v>
      </c>
      <c r="AC130" s="18" t="s">
        <v>53</v>
      </c>
      <c r="AD130" s="18" t="s">
        <v>53</v>
      </c>
      <c r="AE130" s="18" t="s">
        <v>53</v>
      </c>
      <c r="AF130" s="18" t="s">
        <v>53</v>
      </c>
      <c r="AG130" s="16" t="s">
        <v>50</v>
      </c>
      <c r="AH130" s="18" t="s">
        <v>53</v>
      </c>
      <c r="AI130" s="16" t="s">
        <v>50</v>
      </c>
      <c r="AJ130" s="16" t="s">
        <v>50</v>
      </c>
      <c r="AK130" s="16" t="s">
        <v>50</v>
      </c>
      <c r="AL130" s="18" t="s">
        <v>53</v>
      </c>
      <c r="AM130" s="18" t="s">
        <v>53</v>
      </c>
      <c r="AN130" s="16" t="s">
        <v>50</v>
      </c>
      <c r="AO130" s="16" t="s">
        <v>50</v>
      </c>
      <c r="AP130" s="16" t="s">
        <v>50</v>
      </c>
      <c r="AQ130" s="16" t="s">
        <v>50</v>
      </c>
      <c r="AR130" s="5">
        <f t="shared" ref="AR130:AR165" si="14">COUNTIF(B130:AQ130, "ü")</f>
        <v>28</v>
      </c>
      <c r="AS130" s="5">
        <f t="shared" ref="AS130:AS165" si="15">COUNTIF(B130:AQ130, "IFR")</f>
        <v>0</v>
      </c>
      <c r="AT130" s="5">
        <f t="shared" ref="AT130:AT165" si="16">COUNTIF(B130:AQ130, "N/A")</f>
        <v>14</v>
      </c>
      <c r="AU130">
        <f t="shared" ref="AU130:AU165" si="17">COUNTIF(B130:AQ130, "National EBI Guidance")</f>
        <v>0</v>
      </c>
      <c r="AV130">
        <f t="shared" ref="AV130:AV165" si="18">COUNTIF(B130:AQ130, "Policy under review")</f>
        <v>0</v>
      </c>
      <c r="AW130">
        <f t="shared" si="13"/>
        <v>42</v>
      </c>
    </row>
    <row r="131" spans="1:49" ht="29" x14ac:dyDescent="0.35">
      <c r="A131" s="7" t="s">
        <v>182</v>
      </c>
      <c r="B131" s="18" t="s">
        <v>53</v>
      </c>
      <c r="C131" s="18" t="s">
        <v>53</v>
      </c>
      <c r="D131" s="18" t="s">
        <v>53</v>
      </c>
      <c r="E131" s="18" t="s">
        <v>53</v>
      </c>
      <c r="F131" s="18" t="s">
        <v>53</v>
      </c>
      <c r="G131" s="22" t="s">
        <v>53</v>
      </c>
      <c r="H131" s="18" t="s">
        <v>53</v>
      </c>
      <c r="I131" s="18" t="s">
        <v>53</v>
      </c>
      <c r="J131" s="18" t="s">
        <v>53</v>
      </c>
      <c r="K131" s="18" t="s">
        <v>53</v>
      </c>
      <c r="L131" s="18" t="s">
        <v>53</v>
      </c>
      <c r="M131" s="18" t="s">
        <v>53</v>
      </c>
      <c r="N131" s="18" t="s">
        <v>53</v>
      </c>
      <c r="O131" s="18" t="s">
        <v>53</v>
      </c>
      <c r="P131" s="18" t="s">
        <v>53</v>
      </c>
      <c r="Q131" s="18" t="s">
        <v>53</v>
      </c>
      <c r="R131" s="18" t="s">
        <v>53</v>
      </c>
      <c r="S131" s="18" t="s">
        <v>53</v>
      </c>
      <c r="T131" s="18" t="s">
        <v>53</v>
      </c>
      <c r="U131" s="18" t="s">
        <v>53</v>
      </c>
      <c r="V131" s="18" t="s">
        <v>53</v>
      </c>
      <c r="W131" s="18" t="s">
        <v>53</v>
      </c>
      <c r="X131" s="18" t="s">
        <v>53</v>
      </c>
      <c r="Y131" s="18" t="s">
        <v>53</v>
      </c>
      <c r="Z131" s="18" t="s">
        <v>53</v>
      </c>
      <c r="AA131" s="18" t="s">
        <v>53</v>
      </c>
      <c r="AB131" s="18" t="s">
        <v>53</v>
      </c>
      <c r="AC131" s="18" t="s">
        <v>53</v>
      </c>
      <c r="AD131" s="25" t="s">
        <v>53</v>
      </c>
      <c r="AE131" s="18" t="s">
        <v>53</v>
      </c>
      <c r="AF131" s="18" t="s">
        <v>53</v>
      </c>
      <c r="AG131" s="18" t="s">
        <v>53</v>
      </c>
      <c r="AH131" s="18" t="s">
        <v>53</v>
      </c>
      <c r="AI131" s="18" t="s">
        <v>53</v>
      </c>
      <c r="AJ131" s="18" t="s">
        <v>53</v>
      </c>
      <c r="AK131" s="18" t="s">
        <v>53</v>
      </c>
      <c r="AL131" s="18" t="s">
        <v>53</v>
      </c>
      <c r="AM131" s="18" t="s">
        <v>53</v>
      </c>
      <c r="AN131" s="18" t="s">
        <v>53</v>
      </c>
      <c r="AO131" s="18" t="s">
        <v>53</v>
      </c>
      <c r="AP131" s="18" t="s">
        <v>53</v>
      </c>
      <c r="AQ131" s="18" t="s">
        <v>53</v>
      </c>
      <c r="AR131" s="5">
        <f t="shared" si="14"/>
        <v>42</v>
      </c>
      <c r="AS131" s="5">
        <f t="shared" si="15"/>
        <v>0</v>
      </c>
      <c r="AT131" s="5">
        <f t="shared" si="16"/>
        <v>0</v>
      </c>
      <c r="AU131">
        <f t="shared" si="17"/>
        <v>0</v>
      </c>
      <c r="AV131">
        <f t="shared" si="18"/>
        <v>0</v>
      </c>
      <c r="AW131">
        <f t="shared" si="13"/>
        <v>42</v>
      </c>
    </row>
    <row r="132" spans="1:49" x14ac:dyDescent="0.35">
      <c r="A132" s="5" t="s">
        <v>183</v>
      </c>
      <c r="B132" s="18" t="s">
        <v>53</v>
      </c>
      <c r="C132" s="16" t="s">
        <v>50</v>
      </c>
      <c r="D132" s="18" t="s">
        <v>53</v>
      </c>
      <c r="E132" s="16" t="s">
        <v>50</v>
      </c>
      <c r="F132" s="16" t="s">
        <v>50</v>
      </c>
      <c r="G132" s="16" t="s">
        <v>50</v>
      </c>
      <c r="H132" s="18" t="s">
        <v>53</v>
      </c>
      <c r="I132" s="18" t="s">
        <v>53</v>
      </c>
      <c r="J132" s="27" t="s">
        <v>53</v>
      </c>
      <c r="K132" s="16" t="s">
        <v>50</v>
      </c>
      <c r="L132" s="18" t="s">
        <v>53</v>
      </c>
      <c r="M132" s="28" t="s">
        <v>50</v>
      </c>
      <c r="N132" s="16" t="s">
        <v>50</v>
      </c>
      <c r="O132" s="16" t="s">
        <v>50</v>
      </c>
      <c r="P132" s="18" t="s">
        <v>53</v>
      </c>
      <c r="Q132" s="26" t="s">
        <v>50</v>
      </c>
      <c r="R132" s="16" t="s">
        <v>50</v>
      </c>
      <c r="S132" s="18" t="s">
        <v>53</v>
      </c>
      <c r="T132" s="18" t="s">
        <v>53</v>
      </c>
      <c r="U132" s="27" t="s">
        <v>53</v>
      </c>
      <c r="V132" s="16" t="s">
        <v>50</v>
      </c>
      <c r="W132" s="18" t="s">
        <v>53</v>
      </c>
      <c r="X132" s="16" t="s">
        <v>50</v>
      </c>
      <c r="Y132" s="18" t="s">
        <v>53</v>
      </c>
      <c r="Z132" s="16" t="s">
        <v>50</v>
      </c>
      <c r="AA132" s="18" t="s">
        <v>53</v>
      </c>
      <c r="AB132" s="18" t="s">
        <v>53</v>
      </c>
      <c r="AC132" s="18" t="s">
        <v>53</v>
      </c>
      <c r="AD132" s="21" t="s">
        <v>50</v>
      </c>
      <c r="AE132" s="16" t="s">
        <v>50</v>
      </c>
      <c r="AF132" s="18" t="s">
        <v>53</v>
      </c>
      <c r="AG132" s="16" t="s">
        <v>50</v>
      </c>
      <c r="AH132" s="18" t="s">
        <v>53</v>
      </c>
      <c r="AI132" s="18" t="s">
        <v>53</v>
      </c>
      <c r="AJ132" s="16" t="s">
        <v>50</v>
      </c>
      <c r="AK132" s="18" t="s">
        <v>53</v>
      </c>
      <c r="AL132" s="16" t="s">
        <v>50</v>
      </c>
      <c r="AM132" s="16" t="s">
        <v>50</v>
      </c>
      <c r="AN132" s="18" t="s">
        <v>53</v>
      </c>
      <c r="AO132" s="18" t="s">
        <v>53</v>
      </c>
      <c r="AP132" s="18" t="s">
        <v>53</v>
      </c>
      <c r="AQ132" s="16" t="s">
        <v>50</v>
      </c>
      <c r="AR132" s="5">
        <f t="shared" si="14"/>
        <v>22</v>
      </c>
      <c r="AS132" s="5">
        <f t="shared" si="15"/>
        <v>0</v>
      </c>
      <c r="AT132" s="5">
        <f t="shared" si="16"/>
        <v>20</v>
      </c>
      <c r="AU132">
        <f t="shared" si="17"/>
        <v>0</v>
      </c>
      <c r="AV132">
        <f t="shared" si="18"/>
        <v>0</v>
      </c>
      <c r="AW132">
        <f t="shared" si="13"/>
        <v>42</v>
      </c>
    </row>
    <row r="133" spans="1:49" x14ac:dyDescent="0.35">
      <c r="A133" s="5" t="s">
        <v>184</v>
      </c>
      <c r="B133" s="18" t="s">
        <v>53</v>
      </c>
      <c r="C133" s="18" t="s">
        <v>53</v>
      </c>
      <c r="D133" s="18" t="s">
        <v>53</v>
      </c>
      <c r="E133" s="16" t="s">
        <v>50</v>
      </c>
      <c r="F133" s="18" t="s">
        <v>53</v>
      </c>
      <c r="G133" s="27" t="s">
        <v>53</v>
      </c>
      <c r="H133" s="16" t="s">
        <v>50</v>
      </c>
      <c r="I133" s="18" t="s">
        <v>53</v>
      </c>
      <c r="J133" s="16" t="s">
        <v>50</v>
      </c>
      <c r="K133" s="18" t="s">
        <v>53</v>
      </c>
      <c r="L133" s="18" t="s">
        <v>53</v>
      </c>
      <c r="M133" s="18" t="s">
        <v>53</v>
      </c>
      <c r="N133" s="18" t="s">
        <v>53</v>
      </c>
      <c r="O133" s="16" t="s">
        <v>50</v>
      </c>
      <c r="P133" s="16" t="s">
        <v>50</v>
      </c>
      <c r="Q133" s="26" t="s">
        <v>50</v>
      </c>
      <c r="R133" s="16" t="s">
        <v>50</v>
      </c>
      <c r="S133" s="18" t="s">
        <v>53</v>
      </c>
      <c r="T133" s="18" t="s">
        <v>53</v>
      </c>
      <c r="U133" s="18" t="s">
        <v>53</v>
      </c>
      <c r="V133" s="27" t="s">
        <v>53</v>
      </c>
      <c r="W133" s="18" t="s">
        <v>53</v>
      </c>
      <c r="X133" s="16" t="s">
        <v>51</v>
      </c>
      <c r="Y133" s="18" t="s">
        <v>53</v>
      </c>
      <c r="Z133" s="26" t="s">
        <v>50</v>
      </c>
      <c r="AA133" s="18" t="s">
        <v>53</v>
      </c>
      <c r="AB133" s="18" t="s">
        <v>53</v>
      </c>
      <c r="AC133" s="16" t="s">
        <v>50</v>
      </c>
      <c r="AD133" s="21" t="s">
        <v>50</v>
      </c>
      <c r="AE133" s="16" t="s">
        <v>50</v>
      </c>
      <c r="AF133" s="16" t="s">
        <v>50</v>
      </c>
      <c r="AG133" s="16" t="s">
        <v>50</v>
      </c>
      <c r="AH133" s="18" t="s">
        <v>53</v>
      </c>
      <c r="AI133" s="18" t="s">
        <v>53</v>
      </c>
      <c r="AJ133" s="27" t="s">
        <v>53</v>
      </c>
      <c r="AK133" s="16" t="s">
        <v>50</v>
      </c>
      <c r="AL133" s="18" t="s">
        <v>53</v>
      </c>
      <c r="AM133" s="18" t="s">
        <v>53</v>
      </c>
      <c r="AN133" s="16" t="s">
        <v>50</v>
      </c>
      <c r="AO133" s="16" t="s">
        <v>50</v>
      </c>
      <c r="AP133" s="18" t="s">
        <v>53</v>
      </c>
      <c r="AQ133" s="16" t="s">
        <v>50</v>
      </c>
      <c r="AR133" s="5">
        <f t="shared" si="14"/>
        <v>24</v>
      </c>
      <c r="AS133" s="5">
        <f t="shared" si="15"/>
        <v>1</v>
      </c>
      <c r="AT133" s="5">
        <f t="shared" si="16"/>
        <v>17</v>
      </c>
      <c r="AU133">
        <f t="shared" si="17"/>
        <v>0</v>
      </c>
      <c r="AV133">
        <f t="shared" si="18"/>
        <v>0</v>
      </c>
      <c r="AW133">
        <f t="shared" si="13"/>
        <v>42</v>
      </c>
    </row>
    <row r="134" spans="1:49" x14ac:dyDescent="0.35">
      <c r="A134" s="5" t="s">
        <v>185</v>
      </c>
      <c r="B134" s="18" t="s">
        <v>53</v>
      </c>
      <c r="C134" s="18" t="s">
        <v>53</v>
      </c>
      <c r="D134" s="18" t="s">
        <v>53</v>
      </c>
      <c r="E134" s="18" t="s">
        <v>53</v>
      </c>
      <c r="F134" s="18" t="s">
        <v>53</v>
      </c>
      <c r="G134" s="31" t="s">
        <v>53</v>
      </c>
      <c r="H134" s="18" t="s">
        <v>53</v>
      </c>
      <c r="I134" s="18" t="s">
        <v>53</v>
      </c>
      <c r="J134" s="18" t="s">
        <v>53</v>
      </c>
      <c r="K134" s="18" t="s">
        <v>53</v>
      </c>
      <c r="L134" s="18" t="s">
        <v>53</v>
      </c>
      <c r="M134" s="18" t="s">
        <v>53</v>
      </c>
      <c r="N134" s="18" t="s">
        <v>53</v>
      </c>
      <c r="O134" s="18" t="s">
        <v>53</v>
      </c>
      <c r="P134" s="18" t="s">
        <v>53</v>
      </c>
      <c r="Q134" s="18" t="s">
        <v>53</v>
      </c>
      <c r="R134" s="18" t="s">
        <v>53</v>
      </c>
      <c r="S134" s="18" t="s">
        <v>53</v>
      </c>
      <c r="T134" s="18" t="s">
        <v>53</v>
      </c>
      <c r="U134" s="16" t="s">
        <v>63</v>
      </c>
      <c r="V134" s="27" t="s">
        <v>53</v>
      </c>
      <c r="W134" s="18" t="s">
        <v>53</v>
      </c>
      <c r="X134" s="18" t="s">
        <v>53</v>
      </c>
      <c r="Y134" s="18" t="s">
        <v>53</v>
      </c>
      <c r="Z134" s="18" t="s">
        <v>53</v>
      </c>
      <c r="AA134" s="18" t="s">
        <v>53</v>
      </c>
      <c r="AB134" s="18" t="s">
        <v>53</v>
      </c>
      <c r="AC134" s="18" t="s">
        <v>53</v>
      </c>
      <c r="AD134" s="25" t="s">
        <v>53</v>
      </c>
      <c r="AE134" s="18" t="s">
        <v>53</v>
      </c>
      <c r="AF134" s="18" t="s">
        <v>53</v>
      </c>
      <c r="AG134" s="18" t="s">
        <v>53</v>
      </c>
      <c r="AH134" s="18" t="s">
        <v>53</v>
      </c>
      <c r="AI134" s="18" t="s">
        <v>53</v>
      </c>
      <c r="AJ134" s="18" t="s">
        <v>53</v>
      </c>
      <c r="AK134" s="18" t="s">
        <v>53</v>
      </c>
      <c r="AL134" s="18" t="s">
        <v>53</v>
      </c>
      <c r="AM134" s="18" t="s">
        <v>53</v>
      </c>
      <c r="AN134" s="18" t="s">
        <v>53</v>
      </c>
      <c r="AO134" s="18" t="s">
        <v>53</v>
      </c>
      <c r="AP134" s="18" t="s">
        <v>53</v>
      </c>
      <c r="AQ134" s="18" t="s">
        <v>53</v>
      </c>
      <c r="AR134" s="5">
        <f t="shared" si="14"/>
        <v>41</v>
      </c>
      <c r="AS134" s="5">
        <f t="shared" si="15"/>
        <v>0</v>
      </c>
      <c r="AT134" s="5">
        <f t="shared" si="16"/>
        <v>0</v>
      </c>
      <c r="AU134">
        <f t="shared" si="17"/>
        <v>1</v>
      </c>
      <c r="AV134">
        <f t="shared" si="18"/>
        <v>0</v>
      </c>
      <c r="AW134">
        <f>SUM(AR134:AV134)</f>
        <v>42</v>
      </c>
    </row>
    <row r="135" spans="1:49" x14ac:dyDescent="0.35">
      <c r="A135" s="5" t="s">
        <v>186</v>
      </c>
      <c r="B135" s="18" t="s">
        <v>53</v>
      </c>
      <c r="C135" s="16" t="s">
        <v>50</v>
      </c>
      <c r="D135" s="18" t="s">
        <v>53</v>
      </c>
      <c r="E135" s="18" t="s">
        <v>53</v>
      </c>
      <c r="F135" s="16" t="s">
        <v>50</v>
      </c>
      <c r="G135" s="22" t="s">
        <v>53</v>
      </c>
      <c r="H135" s="18" t="s">
        <v>53</v>
      </c>
      <c r="I135" s="18" t="s">
        <v>53</v>
      </c>
      <c r="J135" s="16" t="s">
        <v>50</v>
      </c>
      <c r="K135" s="18" t="s">
        <v>53</v>
      </c>
      <c r="L135" s="16" t="s">
        <v>50</v>
      </c>
      <c r="M135" s="16" t="s">
        <v>51</v>
      </c>
      <c r="N135" s="18" t="s">
        <v>53</v>
      </c>
      <c r="O135" s="18" t="s">
        <v>53</v>
      </c>
      <c r="P135" s="18" t="s">
        <v>53</v>
      </c>
      <c r="Q135" s="18" t="s">
        <v>53</v>
      </c>
      <c r="R135" s="16" t="s">
        <v>50</v>
      </c>
      <c r="S135" s="18" t="s">
        <v>53</v>
      </c>
      <c r="T135" s="16" t="s">
        <v>51</v>
      </c>
      <c r="U135" s="18" t="s">
        <v>53</v>
      </c>
      <c r="V135" s="18" t="s">
        <v>53</v>
      </c>
      <c r="W135" s="16" t="s">
        <v>50</v>
      </c>
      <c r="X135" s="16" t="s">
        <v>51</v>
      </c>
      <c r="Y135" s="18" t="s">
        <v>53</v>
      </c>
      <c r="Z135" s="18" t="s">
        <v>53</v>
      </c>
      <c r="AA135" s="18" t="s">
        <v>53</v>
      </c>
      <c r="AB135" s="16" t="s">
        <v>50</v>
      </c>
      <c r="AC135" s="16" t="s">
        <v>50</v>
      </c>
      <c r="AD135" s="25" t="s">
        <v>53</v>
      </c>
      <c r="AE135" s="16" t="s">
        <v>50</v>
      </c>
      <c r="AF135" s="16" t="s">
        <v>50</v>
      </c>
      <c r="AG135" s="16" t="s">
        <v>51</v>
      </c>
      <c r="AH135" s="16" t="s">
        <v>50</v>
      </c>
      <c r="AI135" s="18" t="s">
        <v>53</v>
      </c>
      <c r="AJ135" s="16" t="s">
        <v>50</v>
      </c>
      <c r="AK135" s="16" t="s">
        <v>50</v>
      </c>
      <c r="AL135" s="16" t="s">
        <v>50</v>
      </c>
      <c r="AM135" s="18" t="s">
        <v>53</v>
      </c>
      <c r="AN135" s="18" t="s">
        <v>53</v>
      </c>
      <c r="AO135" s="18" t="s">
        <v>53</v>
      </c>
      <c r="AP135" s="16" t="s">
        <v>50</v>
      </c>
      <c r="AQ135" s="18" t="s">
        <v>53</v>
      </c>
      <c r="AR135" s="5">
        <f t="shared" si="14"/>
        <v>23</v>
      </c>
      <c r="AS135" s="5">
        <f t="shared" si="15"/>
        <v>4</v>
      </c>
      <c r="AT135" s="5">
        <f t="shared" si="16"/>
        <v>15</v>
      </c>
      <c r="AU135">
        <f t="shared" si="17"/>
        <v>0</v>
      </c>
      <c r="AV135">
        <f t="shared" si="18"/>
        <v>0</v>
      </c>
      <c r="AW135">
        <f t="shared" ref="AW135:AW157" si="19">SUM(AR135:AU135)</f>
        <v>42</v>
      </c>
    </row>
    <row r="136" spans="1:49" x14ac:dyDescent="0.35">
      <c r="A136" s="5" t="s">
        <v>187</v>
      </c>
      <c r="B136" s="16" t="s">
        <v>50</v>
      </c>
      <c r="C136" s="16" t="s">
        <v>50</v>
      </c>
      <c r="D136" s="16" t="s">
        <v>50</v>
      </c>
      <c r="E136" s="18" t="s">
        <v>53</v>
      </c>
      <c r="F136" s="27" t="s">
        <v>53</v>
      </c>
      <c r="G136" s="16" t="s">
        <v>50</v>
      </c>
      <c r="H136" s="18" t="s">
        <v>53</v>
      </c>
      <c r="I136" s="16" t="s">
        <v>50</v>
      </c>
      <c r="J136" s="16" t="s">
        <v>50</v>
      </c>
      <c r="K136" s="18" t="s">
        <v>53</v>
      </c>
      <c r="L136" s="16" t="s">
        <v>50</v>
      </c>
      <c r="M136" s="27" t="s">
        <v>53</v>
      </c>
      <c r="N136" s="18" t="s">
        <v>53</v>
      </c>
      <c r="O136" s="18" t="s">
        <v>53</v>
      </c>
      <c r="P136" s="18" t="s">
        <v>53</v>
      </c>
      <c r="Q136" s="16" t="s">
        <v>50</v>
      </c>
      <c r="R136" s="16" t="s">
        <v>50</v>
      </c>
      <c r="S136" s="16" t="s">
        <v>50</v>
      </c>
      <c r="T136" s="27" t="s">
        <v>53</v>
      </c>
      <c r="U136" s="16" t="s">
        <v>50</v>
      </c>
      <c r="V136" s="26" t="s">
        <v>52</v>
      </c>
      <c r="W136" s="18" t="s">
        <v>53</v>
      </c>
      <c r="X136" s="16" t="s">
        <v>50</v>
      </c>
      <c r="Y136" s="16" t="s">
        <v>50</v>
      </c>
      <c r="Z136" s="34" t="s">
        <v>50</v>
      </c>
      <c r="AA136" s="16" t="s">
        <v>50</v>
      </c>
      <c r="AB136" s="16" t="s">
        <v>50</v>
      </c>
      <c r="AC136" s="18" t="s">
        <v>53</v>
      </c>
      <c r="AD136" s="18" t="s">
        <v>53</v>
      </c>
      <c r="AE136" s="18" t="s">
        <v>53</v>
      </c>
      <c r="AF136" s="16" t="s">
        <v>50</v>
      </c>
      <c r="AG136" s="16" t="s">
        <v>50</v>
      </c>
      <c r="AH136" s="27" t="s">
        <v>53</v>
      </c>
      <c r="AI136" s="18" t="s">
        <v>53</v>
      </c>
      <c r="AJ136" s="16" t="s">
        <v>50</v>
      </c>
      <c r="AK136" s="16" t="s">
        <v>50</v>
      </c>
      <c r="AL136" s="18" t="s">
        <v>53</v>
      </c>
      <c r="AM136" s="16" t="s">
        <v>50</v>
      </c>
      <c r="AN136" s="16" t="s">
        <v>50</v>
      </c>
      <c r="AO136" s="16" t="s">
        <v>50</v>
      </c>
      <c r="AP136" s="16" t="s">
        <v>50</v>
      </c>
      <c r="AQ136" s="16" t="s">
        <v>50</v>
      </c>
      <c r="AR136" s="5">
        <f t="shared" si="14"/>
        <v>16</v>
      </c>
      <c r="AS136" s="5">
        <f t="shared" si="15"/>
        <v>0</v>
      </c>
      <c r="AT136" s="5">
        <f t="shared" si="16"/>
        <v>25</v>
      </c>
      <c r="AU136">
        <f t="shared" si="17"/>
        <v>0</v>
      </c>
      <c r="AV136">
        <f t="shared" si="18"/>
        <v>1</v>
      </c>
      <c r="AW136">
        <f t="shared" si="19"/>
        <v>41</v>
      </c>
    </row>
    <row r="137" spans="1:49" x14ac:dyDescent="0.35">
      <c r="A137" s="5" t="s">
        <v>188</v>
      </c>
      <c r="B137" s="16" t="s">
        <v>50</v>
      </c>
      <c r="C137" s="16" t="s">
        <v>50</v>
      </c>
      <c r="D137" s="16" t="s">
        <v>50</v>
      </c>
      <c r="E137" s="16" t="s">
        <v>50</v>
      </c>
      <c r="F137" s="16" t="s">
        <v>50</v>
      </c>
      <c r="G137" s="27" t="s">
        <v>53</v>
      </c>
      <c r="H137" s="16" t="s">
        <v>50</v>
      </c>
      <c r="I137" s="16" t="s">
        <v>50</v>
      </c>
      <c r="J137" s="18" t="s">
        <v>53</v>
      </c>
      <c r="K137" s="16" t="s">
        <v>50</v>
      </c>
      <c r="L137" s="16" t="s">
        <v>50</v>
      </c>
      <c r="M137" s="16" t="s">
        <v>50</v>
      </c>
      <c r="N137" s="16" t="s">
        <v>50</v>
      </c>
      <c r="O137" s="16" t="s">
        <v>50</v>
      </c>
      <c r="P137" s="16" t="s">
        <v>50</v>
      </c>
      <c r="Q137" s="27" t="s">
        <v>53</v>
      </c>
      <c r="R137" s="16" t="s">
        <v>50</v>
      </c>
      <c r="S137" s="16" t="s">
        <v>50</v>
      </c>
      <c r="T137" s="16" t="s">
        <v>50</v>
      </c>
      <c r="U137" s="16" t="s">
        <v>50</v>
      </c>
      <c r="V137" s="16" t="s">
        <v>50</v>
      </c>
      <c r="W137" s="16" t="s">
        <v>50</v>
      </c>
      <c r="X137" s="16" t="s">
        <v>50</v>
      </c>
      <c r="Y137" s="16" t="s">
        <v>50</v>
      </c>
      <c r="Z137" s="18" t="s">
        <v>53</v>
      </c>
      <c r="AA137" s="16" t="s">
        <v>50</v>
      </c>
      <c r="AB137" s="16" t="s">
        <v>50</v>
      </c>
      <c r="AC137" s="16" t="s">
        <v>50</v>
      </c>
      <c r="AD137" s="16" t="s">
        <v>50</v>
      </c>
      <c r="AE137" s="16" t="s">
        <v>50</v>
      </c>
      <c r="AF137" s="16" t="s">
        <v>50</v>
      </c>
      <c r="AG137" s="16" t="s">
        <v>50</v>
      </c>
      <c r="AH137" s="18" t="s">
        <v>53</v>
      </c>
      <c r="AI137" s="16" t="s">
        <v>50</v>
      </c>
      <c r="AJ137" s="16" t="s">
        <v>50</v>
      </c>
      <c r="AK137" s="16" t="s">
        <v>50</v>
      </c>
      <c r="AL137" s="16" t="s">
        <v>50</v>
      </c>
      <c r="AM137" s="27" t="s">
        <v>53</v>
      </c>
      <c r="AN137" s="16" t="s">
        <v>50</v>
      </c>
      <c r="AO137" s="16" t="s">
        <v>50</v>
      </c>
      <c r="AP137" s="16" t="s">
        <v>50</v>
      </c>
      <c r="AQ137" s="16" t="s">
        <v>50</v>
      </c>
      <c r="AR137" s="5">
        <f t="shared" si="14"/>
        <v>6</v>
      </c>
      <c r="AS137" s="5">
        <f t="shared" si="15"/>
        <v>0</v>
      </c>
      <c r="AT137" s="5">
        <f t="shared" si="16"/>
        <v>36</v>
      </c>
      <c r="AU137">
        <f t="shared" si="17"/>
        <v>0</v>
      </c>
      <c r="AV137">
        <f t="shared" si="18"/>
        <v>0</v>
      </c>
      <c r="AW137">
        <f t="shared" si="19"/>
        <v>42</v>
      </c>
    </row>
    <row r="138" spans="1:49" x14ac:dyDescent="0.35">
      <c r="A138" s="7" t="s">
        <v>189</v>
      </c>
      <c r="B138" s="18" t="s">
        <v>53</v>
      </c>
      <c r="C138" s="18" t="s">
        <v>53</v>
      </c>
      <c r="D138" s="31" t="s">
        <v>53</v>
      </c>
      <c r="E138" s="18" t="s">
        <v>53</v>
      </c>
      <c r="F138" s="35" t="s">
        <v>50</v>
      </c>
      <c r="G138" s="18" t="s">
        <v>53</v>
      </c>
      <c r="H138" s="18" t="s">
        <v>53</v>
      </c>
      <c r="I138" s="18" t="s">
        <v>53</v>
      </c>
      <c r="J138" s="27" t="s">
        <v>53</v>
      </c>
      <c r="K138" s="16" t="s">
        <v>50</v>
      </c>
      <c r="L138" s="16" t="s">
        <v>50</v>
      </c>
      <c r="M138" s="18" t="s">
        <v>53</v>
      </c>
      <c r="N138" s="16" t="s">
        <v>50</v>
      </c>
      <c r="O138" s="16" t="s">
        <v>50</v>
      </c>
      <c r="P138" s="18" t="s">
        <v>53</v>
      </c>
      <c r="Q138" s="26" t="s">
        <v>50</v>
      </c>
      <c r="R138" s="16" t="s">
        <v>50</v>
      </c>
      <c r="S138" s="16" t="s">
        <v>50</v>
      </c>
      <c r="T138" s="16" t="s">
        <v>50</v>
      </c>
      <c r="U138" s="18" t="s">
        <v>53</v>
      </c>
      <c r="V138" s="16" t="s">
        <v>50</v>
      </c>
      <c r="W138" s="18" t="s">
        <v>53</v>
      </c>
      <c r="X138" s="27" t="s">
        <v>53</v>
      </c>
      <c r="Y138" s="16" t="s">
        <v>50</v>
      </c>
      <c r="Z138" s="18" t="s">
        <v>53</v>
      </c>
      <c r="AA138" s="16" t="s">
        <v>50</v>
      </c>
      <c r="AB138" s="16" t="s">
        <v>51</v>
      </c>
      <c r="AC138" s="18" t="s">
        <v>53</v>
      </c>
      <c r="AD138" s="21" t="s">
        <v>50</v>
      </c>
      <c r="AE138" s="16" t="s">
        <v>50</v>
      </c>
      <c r="AF138" s="16" t="s">
        <v>50</v>
      </c>
      <c r="AG138" s="16" t="s">
        <v>51</v>
      </c>
      <c r="AH138" s="16" t="s">
        <v>50</v>
      </c>
      <c r="AI138" s="16" t="s">
        <v>50</v>
      </c>
      <c r="AJ138" s="16" t="s">
        <v>50</v>
      </c>
      <c r="AK138" s="16" t="s">
        <v>50</v>
      </c>
      <c r="AL138" s="16" t="s">
        <v>50</v>
      </c>
      <c r="AM138" s="18" t="s">
        <v>53</v>
      </c>
      <c r="AN138" s="16" t="s">
        <v>50</v>
      </c>
      <c r="AO138" s="18" t="s">
        <v>53</v>
      </c>
      <c r="AP138" s="18" t="s">
        <v>53</v>
      </c>
      <c r="AQ138" s="16" t="s">
        <v>50</v>
      </c>
      <c r="AR138" s="5">
        <f t="shared" si="14"/>
        <v>18</v>
      </c>
      <c r="AS138" s="5">
        <f t="shared" si="15"/>
        <v>2</v>
      </c>
      <c r="AT138" s="5">
        <f t="shared" si="16"/>
        <v>22</v>
      </c>
      <c r="AU138">
        <f t="shared" si="17"/>
        <v>0</v>
      </c>
      <c r="AV138">
        <f t="shared" si="18"/>
        <v>0</v>
      </c>
      <c r="AW138">
        <f t="shared" si="19"/>
        <v>42</v>
      </c>
    </row>
    <row r="139" spans="1:49" x14ac:dyDescent="0.35">
      <c r="A139" s="7" t="s">
        <v>190</v>
      </c>
      <c r="B139" s="16" t="s">
        <v>50</v>
      </c>
      <c r="C139" s="16" t="s">
        <v>50</v>
      </c>
      <c r="D139" s="16" t="s">
        <v>50</v>
      </c>
      <c r="E139" s="16" t="s">
        <v>50</v>
      </c>
      <c r="F139" s="16" t="s">
        <v>50</v>
      </c>
      <c r="G139" s="16" t="s">
        <v>50</v>
      </c>
      <c r="H139" s="16" t="s">
        <v>50</v>
      </c>
      <c r="I139" s="16" t="s">
        <v>50</v>
      </c>
      <c r="J139" s="16" t="s">
        <v>50</v>
      </c>
      <c r="K139" s="16" t="s">
        <v>50</v>
      </c>
      <c r="L139" s="16" t="s">
        <v>50</v>
      </c>
      <c r="M139" s="16" t="s">
        <v>50</v>
      </c>
      <c r="N139" s="16" t="s">
        <v>50</v>
      </c>
      <c r="O139" s="16" t="s">
        <v>50</v>
      </c>
      <c r="P139" s="16" t="s">
        <v>50</v>
      </c>
      <c r="Q139" s="16" t="s">
        <v>50</v>
      </c>
      <c r="R139" s="16" t="s">
        <v>50</v>
      </c>
      <c r="S139" s="16" t="s">
        <v>50</v>
      </c>
      <c r="T139" s="16" t="s">
        <v>50</v>
      </c>
      <c r="U139" s="16" t="s">
        <v>50</v>
      </c>
      <c r="V139" s="16" t="s">
        <v>50</v>
      </c>
      <c r="W139" s="16" t="s">
        <v>50</v>
      </c>
      <c r="X139" s="16" t="s">
        <v>50</v>
      </c>
      <c r="Y139" s="16" t="s">
        <v>50</v>
      </c>
      <c r="Z139" s="16" t="s">
        <v>50</v>
      </c>
      <c r="AA139" s="16" t="s">
        <v>50</v>
      </c>
      <c r="AB139" s="16" t="s">
        <v>50</v>
      </c>
      <c r="AC139" s="16" t="s">
        <v>50</v>
      </c>
      <c r="AD139" s="18" t="s">
        <v>53</v>
      </c>
      <c r="AE139" s="16" t="s">
        <v>50</v>
      </c>
      <c r="AF139" s="16" t="s">
        <v>50</v>
      </c>
      <c r="AG139" s="16" t="s">
        <v>50</v>
      </c>
      <c r="AH139" s="16" t="s">
        <v>50</v>
      </c>
      <c r="AI139" s="16" t="s">
        <v>50</v>
      </c>
      <c r="AJ139" s="16" t="s">
        <v>50</v>
      </c>
      <c r="AK139" s="16" t="s">
        <v>50</v>
      </c>
      <c r="AL139" s="16" t="s">
        <v>50</v>
      </c>
      <c r="AM139" s="16" t="s">
        <v>50</v>
      </c>
      <c r="AN139" s="16" t="s">
        <v>50</v>
      </c>
      <c r="AO139" s="16" t="s">
        <v>50</v>
      </c>
      <c r="AP139" s="16" t="s">
        <v>50</v>
      </c>
      <c r="AQ139" s="16" t="s">
        <v>50</v>
      </c>
      <c r="AR139" s="5">
        <f t="shared" si="14"/>
        <v>1</v>
      </c>
      <c r="AS139" s="5">
        <f t="shared" si="15"/>
        <v>0</v>
      </c>
      <c r="AT139" s="5">
        <f t="shared" si="16"/>
        <v>41</v>
      </c>
      <c r="AU139">
        <f t="shared" si="17"/>
        <v>0</v>
      </c>
      <c r="AV139">
        <f t="shared" si="18"/>
        <v>0</v>
      </c>
      <c r="AW139">
        <f t="shared" si="19"/>
        <v>42</v>
      </c>
    </row>
    <row r="140" spans="1:49" x14ac:dyDescent="0.35">
      <c r="A140" s="7" t="s">
        <v>191</v>
      </c>
      <c r="B140" s="16" t="s">
        <v>50</v>
      </c>
      <c r="C140" s="16" t="s">
        <v>50</v>
      </c>
      <c r="D140" s="16" t="s">
        <v>50</v>
      </c>
      <c r="E140" s="16" t="s">
        <v>50</v>
      </c>
      <c r="F140" s="16" t="s">
        <v>50</v>
      </c>
      <c r="G140" s="16" t="s">
        <v>50</v>
      </c>
      <c r="H140" s="16" t="s">
        <v>50</v>
      </c>
      <c r="I140" s="16" t="s">
        <v>50</v>
      </c>
      <c r="J140" s="18" t="s">
        <v>53</v>
      </c>
      <c r="K140" s="18" t="s">
        <v>53</v>
      </c>
      <c r="L140" s="16" t="s">
        <v>50</v>
      </c>
      <c r="M140" s="16" t="s">
        <v>50</v>
      </c>
      <c r="N140" s="16" t="s">
        <v>50</v>
      </c>
      <c r="O140" s="16" t="s">
        <v>50</v>
      </c>
      <c r="P140" s="16" t="s">
        <v>50</v>
      </c>
      <c r="Q140" s="18" t="s">
        <v>53</v>
      </c>
      <c r="R140" s="16" t="s">
        <v>50</v>
      </c>
      <c r="S140" s="16" t="s">
        <v>50</v>
      </c>
      <c r="T140" s="16" t="s">
        <v>50</v>
      </c>
      <c r="U140" s="16" t="s">
        <v>50</v>
      </c>
      <c r="V140" s="16" t="s">
        <v>50</v>
      </c>
      <c r="W140" s="16" t="s">
        <v>50</v>
      </c>
      <c r="X140" s="16" t="s">
        <v>50</v>
      </c>
      <c r="Y140" s="16" t="s">
        <v>50</v>
      </c>
      <c r="Z140" s="16" t="s">
        <v>50</v>
      </c>
      <c r="AA140" s="16" t="s">
        <v>50</v>
      </c>
      <c r="AB140" s="16" t="s">
        <v>50</v>
      </c>
      <c r="AC140" s="16" t="s">
        <v>50</v>
      </c>
      <c r="AD140" s="16" t="s">
        <v>50</v>
      </c>
      <c r="AE140" s="16" t="s">
        <v>50</v>
      </c>
      <c r="AF140" s="16" t="s">
        <v>50</v>
      </c>
      <c r="AG140" s="16" t="s">
        <v>50</v>
      </c>
      <c r="AH140" s="27" t="s">
        <v>53</v>
      </c>
      <c r="AI140" s="16" t="s">
        <v>50</v>
      </c>
      <c r="AJ140" s="18" t="s">
        <v>53</v>
      </c>
      <c r="AK140" s="16" t="s">
        <v>50</v>
      </c>
      <c r="AL140" s="16" t="s">
        <v>50</v>
      </c>
      <c r="AM140" s="16" t="s">
        <v>50</v>
      </c>
      <c r="AN140" s="16" t="s">
        <v>50</v>
      </c>
      <c r="AO140" s="16" t="s">
        <v>50</v>
      </c>
      <c r="AP140" s="16" t="s">
        <v>50</v>
      </c>
      <c r="AQ140" s="16" t="s">
        <v>50</v>
      </c>
      <c r="AR140" s="5">
        <f t="shared" si="14"/>
        <v>5</v>
      </c>
      <c r="AS140" s="5">
        <f t="shared" si="15"/>
        <v>0</v>
      </c>
      <c r="AT140" s="5">
        <f t="shared" si="16"/>
        <v>37</v>
      </c>
      <c r="AU140">
        <f t="shared" si="17"/>
        <v>0</v>
      </c>
      <c r="AV140">
        <f t="shared" si="18"/>
        <v>0</v>
      </c>
      <c r="AW140">
        <f t="shared" si="19"/>
        <v>42</v>
      </c>
    </row>
    <row r="141" spans="1:49" x14ac:dyDescent="0.35">
      <c r="A141" s="7" t="s">
        <v>192</v>
      </c>
      <c r="B141" s="16" t="s">
        <v>50</v>
      </c>
      <c r="C141" s="16" t="s">
        <v>50</v>
      </c>
      <c r="D141" s="16" t="s">
        <v>50</v>
      </c>
      <c r="E141" s="16" t="s">
        <v>50</v>
      </c>
      <c r="F141" s="16" t="s">
        <v>50</v>
      </c>
      <c r="G141" s="16" t="s">
        <v>50</v>
      </c>
      <c r="H141" s="16" t="s">
        <v>50</v>
      </c>
      <c r="I141" s="16" t="s">
        <v>50</v>
      </c>
      <c r="J141" s="16" t="s">
        <v>50</v>
      </c>
      <c r="K141" s="16" t="s">
        <v>50</v>
      </c>
      <c r="L141" s="16" t="s">
        <v>50</v>
      </c>
      <c r="M141" s="16" t="s">
        <v>50</v>
      </c>
      <c r="N141" s="16" t="s">
        <v>50</v>
      </c>
      <c r="O141" s="16" t="s">
        <v>50</v>
      </c>
      <c r="P141" s="16" t="s">
        <v>50</v>
      </c>
      <c r="Q141" s="18" t="s">
        <v>53</v>
      </c>
      <c r="R141" s="16" t="s">
        <v>50</v>
      </c>
      <c r="S141" s="16" t="s">
        <v>50</v>
      </c>
      <c r="T141" s="16" t="s">
        <v>50</v>
      </c>
      <c r="U141" s="16" t="s">
        <v>50</v>
      </c>
      <c r="V141" s="16" t="s">
        <v>50</v>
      </c>
      <c r="W141" s="16" t="s">
        <v>50</v>
      </c>
      <c r="X141" s="16" t="s">
        <v>50</v>
      </c>
      <c r="Y141" s="16" t="s">
        <v>50</v>
      </c>
      <c r="Z141" s="16" t="s">
        <v>50</v>
      </c>
      <c r="AA141" s="16" t="s">
        <v>50</v>
      </c>
      <c r="AB141" s="16" t="s">
        <v>50</v>
      </c>
      <c r="AC141" s="16" t="s">
        <v>50</v>
      </c>
      <c r="AD141" s="16" t="s">
        <v>50</v>
      </c>
      <c r="AE141" s="16" t="s">
        <v>50</v>
      </c>
      <c r="AF141" s="16" t="s">
        <v>50</v>
      </c>
      <c r="AG141" s="16" t="s">
        <v>50</v>
      </c>
      <c r="AH141" s="16" t="s">
        <v>50</v>
      </c>
      <c r="AI141" s="16" t="s">
        <v>50</v>
      </c>
      <c r="AJ141" s="16" t="s">
        <v>50</v>
      </c>
      <c r="AK141" s="16" t="s">
        <v>50</v>
      </c>
      <c r="AL141" s="16" t="s">
        <v>50</v>
      </c>
      <c r="AM141" s="16" t="s">
        <v>50</v>
      </c>
      <c r="AN141" s="16" t="s">
        <v>50</v>
      </c>
      <c r="AO141" s="16" t="s">
        <v>50</v>
      </c>
      <c r="AP141" s="16" t="s">
        <v>50</v>
      </c>
      <c r="AQ141" s="16" t="s">
        <v>50</v>
      </c>
      <c r="AR141" s="5">
        <f t="shared" si="14"/>
        <v>1</v>
      </c>
      <c r="AS141" s="5">
        <f t="shared" si="15"/>
        <v>0</v>
      </c>
      <c r="AT141" s="5">
        <f t="shared" si="16"/>
        <v>41</v>
      </c>
      <c r="AU141">
        <f t="shared" si="17"/>
        <v>0</v>
      </c>
      <c r="AV141">
        <f t="shared" si="18"/>
        <v>0</v>
      </c>
      <c r="AW141">
        <f t="shared" si="19"/>
        <v>42</v>
      </c>
    </row>
    <row r="142" spans="1:49" x14ac:dyDescent="0.35">
      <c r="A142" s="7" t="s">
        <v>193</v>
      </c>
      <c r="B142" s="16" t="s">
        <v>50</v>
      </c>
      <c r="C142" s="16" t="s">
        <v>50</v>
      </c>
      <c r="D142" s="16" t="s">
        <v>50</v>
      </c>
      <c r="E142" s="16" t="s">
        <v>51</v>
      </c>
      <c r="F142" s="28" t="s">
        <v>51</v>
      </c>
      <c r="G142" s="16" t="s">
        <v>50</v>
      </c>
      <c r="H142" s="16" t="s">
        <v>50</v>
      </c>
      <c r="I142" s="16" t="s">
        <v>50</v>
      </c>
      <c r="J142" s="16" t="s">
        <v>51</v>
      </c>
      <c r="K142" s="16" t="s">
        <v>51</v>
      </c>
      <c r="L142" s="16" t="s">
        <v>50</v>
      </c>
      <c r="M142" s="26" t="s">
        <v>51</v>
      </c>
      <c r="N142" s="16" t="s">
        <v>50</v>
      </c>
      <c r="O142" s="27" t="s">
        <v>53</v>
      </c>
      <c r="P142" s="26" t="s">
        <v>51</v>
      </c>
      <c r="Q142" s="26" t="s">
        <v>51</v>
      </c>
      <c r="R142" s="27" t="s">
        <v>53</v>
      </c>
      <c r="S142" s="26" t="s">
        <v>51</v>
      </c>
      <c r="T142" s="26" t="s">
        <v>51</v>
      </c>
      <c r="U142" s="26" t="s">
        <v>51</v>
      </c>
      <c r="V142" s="16" t="s">
        <v>50</v>
      </c>
      <c r="W142" s="18" t="s">
        <v>53</v>
      </c>
      <c r="X142" s="16" t="s">
        <v>50</v>
      </c>
      <c r="Y142" s="18" t="s">
        <v>53</v>
      </c>
      <c r="Z142" s="16" t="s">
        <v>50</v>
      </c>
      <c r="AA142" s="16" t="s">
        <v>51</v>
      </c>
      <c r="AB142" s="16" t="s">
        <v>51</v>
      </c>
      <c r="AC142" s="16" t="s">
        <v>50</v>
      </c>
      <c r="AD142" s="18" t="s">
        <v>53</v>
      </c>
      <c r="AE142" s="16" t="s">
        <v>50</v>
      </c>
      <c r="AF142" s="26" t="s">
        <v>51</v>
      </c>
      <c r="AG142" s="26" t="s">
        <v>51</v>
      </c>
      <c r="AH142" s="16" t="s">
        <v>51</v>
      </c>
      <c r="AI142" s="16" t="s">
        <v>50</v>
      </c>
      <c r="AJ142" s="16" t="s">
        <v>50</v>
      </c>
      <c r="AK142" s="16" t="s">
        <v>50</v>
      </c>
      <c r="AL142" s="16" t="s">
        <v>51</v>
      </c>
      <c r="AM142" s="27" t="s">
        <v>53</v>
      </c>
      <c r="AN142" s="16" t="s">
        <v>51</v>
      </c>
      <c r="AO142" s="16" t="s">
        <v>51</v>
      </c>
      <c r="AP142" s="16" t="s">
        <v>51</v>
      </c>
      <c r="AQ142" s="27" t="s">
        <v>53</v>
      </c>
      <c r="AR142" s="5">
        <f t="shared" si="14"/>
        <v>7</v>
      </c>
      <c r="AS142" s="5">
        <f t="shared" si="15"/>
        <v>19</v>
      </c>
      <c r="AT142" s="5">
        <f t="shared" si="16"/>
        <v>16</v>
      </c>
      <c r="AU142">
        <f t="shared" si="17"/>
        <v>0</v>
      </c>
      <c r="AV142">
        <f t="shared" si="18"/>
        <v>0</v>
      </c>
      <c r="AW142">
        <f t="shared" si="19"/>
        <v>42</v>
      </c>
    </row>
    <row r="143" spans="1:49" x14ac:dyDescent="0.35">
      <c r="A143" s="7" t="s">
        <v>194</v>
      </c>
      <c r="B143" s="16" t="s">
        <v>50</v>
      </c>
      <c r="C143" s="16" t="s">
        <v>50</v>
      </c>
      <c r="D143" s="18" t="s">
        <v>53</v>
      </c>
      <c r="E143" s="16" t="s">
        <v>50</v>
      </c>
      <c r="F143" s="16" t="s">
        <v>50</v>
      </c>
      <c r="G143" s="18" t="s">
        <v>53</v>
      </c>
      <c r="H143" s="16" t="s">
        <v>50</v>
      </c>
      <c r="I143" s="18" t="s">
        <v>53</v>
      </c>
      <c r="J143" s="16" t="s">
        <v>50</v>
      </c>
      <c r="K143" s="18" t="s">
        <v>53</v>
      </c>
      <c r="L143" s="16" t="s">
        <v>50</v>
      </c>
      <c r="M143" s="16" t="s">
        <v>50</v>
      </c>
      <c r="N143" s="16" t="s">
        <v>50</v>
      </c>
      <c r="O143" s="16" t="s">
        <v>50</v>
      </c>
      <c r="P143" s="16" t="s">
        <v>50</v>
      </c>
      <c r="Q143" s="18" t="s">
        <v>53</v>
      </c>
      <c r="R143" s="18" t="s">
        <v>53</v>
      </c>
      <c r="S143" s="16" t="s">
        <v>50</v>
      </c>
      <c r="T143" s="34" t="s">
        <v>50</v>
      </c>
      <c r="U143" s="18" t="s">
        <v>53</v>
      </c>
      <c r="V143" s="16" t="s">
        <v>50</v>
      </c>
      <c r="W143" s="16" t="s">
        <v>50</v>
      </c>
      <c r="X143" s="16" t="s">
        <v>50</v>
      </c>
      <c r="Y143" s="18" t="s">
        <v>53</v>
      </c>
      <c r="Z143" s="18" t="s">
        <v>53</v>
      </c>
      <c r="AA143" s="16" t="s">
        <v>50</v>
      </c>
      <c r="AB143" s="16" t="s">
        <v>50</v>
      </c>
      <c r="AC143" s="16" t="s">
        <v>50</v>
      </c>
      <c r="AD143" s="16" t="s">
        <v>50</v>
      </c>
      <c r="AE143" s="16" t="s">
        <v>50</v>
      </c>
      <c r="AF143" s="16" t="s">
        <v>50</v>
      </c>
      <c r="AG143" s="18" t="s">
        <v>53</v>
      </c>
      <c r="AH143" s="16" t="s">
        <v>50</v>
      </c>
      <c r="AI143" s="16" t="s">
        <v>50</v>
      </c>
      <c r="AJ143" s="16" t="s">
        <v>50</v>
      </c>
      <c r="AK143" s="16" t="s">
        <v>50</v>
      </c>
      <c r="AL143" s="16" t="s">
        <v>50</v>
      </c>
      <c r="AM143" s="16" t="s">
        <v>50</v>
      </c>
      <c r="AN143" s="16" t="s">
        <v>50</v>
      </c>
      <c r="AO143" s="16" t="s">
        <v>50</v>
      </c>
      <c r="AP143" s="16" t="s">
        <v>50</v>
      </c>
      <c r="AQ143" s="16" t="s">
        <v>50</v>
      </c>
      <c r="AR143" s="5">
        <f t="shared" si="14"/>
        <v>10</v>
      </c>
      <c r="AS143" s="5">
        <f t="shared" si="15"/>
        <v>0</v>
      </c>
      <c r="AT143" s="5">
        <f t="shared" si="16"/>
        <v>32</v>
      </c>
      <c r="AU143">
        <f t="shared" si="17"/>
        <v>0</v>
      </c>
      <c r="AV143">
        <f t="shared" si="18"/>
        <v>0</v>
      </c>
      <c r="AW143">
        <f t="shared" si="19"/>
        <v>42</v>
      </c>
    </row>
    <row r="144" spans="1:49" x14ac:dyDescent="0.35">
      <c r="A144" s="5" t="s">
        <v>195</v>
      </c>
      <c r="B144" s="18" t="s">
        <v>53</v>
      </c>
      <c r="C144" s="18" t="s">
        <v>53</v>
      </c>
      <c r="D144" s="18" t="s">
        <v>53</v>
      </c>
      <c r="E144" s="18" t="s">
        <v>53</v>
      </c>
      <c r="F144" s="18" t="s">
        <v>53</v>
      </c>
      <c r="G144" s="18" t="s">
        <v>53</v>
      </c>
      <c r="H144" s="18" t="s">
        <v>53</v>
      </c>
      <c r="I144" s="18" t="s">
        <v>53</v>
      </c>
      <c r="J144" s="18" t="s">
        <v>53</v>
      </c>
      <c r="K144" s="18" t="s">
        <v>53</v>
      </c>
      <c r="L144" s="18" t="s">
        <v>53</v>
      </c>
      <c r="M144" s="18" t="s">
        <v>53</v>
      </c>
      <c r="N144" s="18" t="s">
        <v>53</v>
      </c>
      <c r="O144" s="18" t="s">
        <v>53</v>
      </c>
      <c r="P144" s="18" t="s">
        <v>53</v>
      </c>
      <c r="Q144" s="18" t="s">
        <v>53</v>
      </c>
      <c r="R144" s="18" t="s">
        <v>53</v>
      </c>
      <c r="S144" s="18" t="s">
        <v>53</v>
      </c>
      <c r="T144" s="18" t="s">
        <v>53</v>
      </c>
      <c r="U144" s="16" t="s">
        <v>63</v>
      </c>
      <c r="V144" s="18" t="s">
        <v>53</v>
      </c>
      <c r="W144" s="18" t="s">
        <v>53</v>
      </c>
      <c r="X144" s="18" t="s">
        <v>53</v>
      </c>
      <c r="Y144" s="18" t="s">
        <v>53</v>
      </c>
      <c r="Z144" s="18" t="s">
        <v>53</v>
      </c>
      <c r="AA144" s="18" t="s">
        <v>53</v>
      </c>
      <c r="AB144" s="18" t="s">
        <v>53</v>
      </c>
      <c r="AC144" s="18" t="s">
        <v>53</v>
      </c>
      <c r="AD144" s="25" t="s">
        <v>53</v>
      </c>
      <c r="AE144" s="18" t="s">
        <v>53</v>
      </c>
      <c r="AF144" s="18" t="s">
        <v>53</v>
      </c>
      <c r="AG144" s="18" t="s">
        <v>53</v>
      </c>
      <c r="AH144" s="18" t="s">
        <v>53</v>
      </c>
      <c r="AI144" s="18" t="s">
        <v>53</v>
      </c>
      <c r="AJ144" s="18" t="s">
        <v>53</v>
      </c>
      <c r="AK144" s="18" t="s">
        <v>53</v>
      </c>
      <c r="AL144" s="18" t="s">
        <v>53</v>
      </c>
      <c r="AM144" s="18" t="s">
        <v>53</v>
      </c>
      <c r="AN144" s="18" t="s">
        <v>53</v>
      </c>
      <c r="AO144" s="18" t="s">
        <v>53</v>
      </c>
      <c r="AP144" s="18" t="s">
        <v>53</v>
      </c>
      <c r="AQ144" s="18" t="s">
        <v>53</v>
      </c>
      <c r="AR144" s="5">
        <f t="shared" si="14"/>
        <v>41</v>
      </c>
      <c r="AS144" s="5">
        <f t="shared" si="15"/>
        <v>0</v>
      </c>
      <c r="AT144" s="5">
        <f t="shared" si="16"/>
        <v>0</v>
      </c>
      <c r="AU144">
        <f t="shared" si="17"/>
        <v>1</v>
      </c>
      <c r="AV144">
        <f t="shared" si="18"/>
        <v>0</v>
      </c>
      <c r="AW144">
        <f t="shared" si="19"/>
        <v>42</v>
      </c>
    </row>
    <row r="145" spans="1:49" x14ac:dyDescent="0.35">
      <c r="A145" s="7" t="s">
        <v>196</v>
      </c>
      <c r="B145" s="18" t="s">
        <v>53</v>
      </c>
      <c r="C145" s="33" t="s">
        <v>50</v>
      </c>
      <c r="D145" s="18" t="s">
        <v>53</v>
      </c>
      <c r="E145" s="16" t="s">
        <v>50</v>
      </c>
      <c r="F145" s="16" t="s">
        <v>50</v>
      </c>
      <c r="G145" s="16" t="s">
        <v>50</v>
      </c>
      <c r="H145" s="16" t="s">
        <v>50</v>
      </c>
      <c r="I145" s="18" t="s">
        <v>53</v>
      </c>
      <c r="J145" s="18" t="s">
        <v>53</v>
      </c>
      <c r="K145" s="27" t="s">
        <v>53</v>
      </c>
      <c r="L145" s="27" t="s">
        <v>53</v>
      </c>
      <c r="M145" s="16" t="s">
        <v>50</v>
      </c>
      <c r="N145" s="27" t="s">
        <v>53</v>
      </c>
      <c r="O145" s="16" t="s">
        <v>50</v>
      </c>
      <c r="P145" s="27" t="s">
        <v>53</v>
      </c>
      <c r="Q145" s="26" t="s">
        <v>50</v>
      </c>
      <c r="R145" s="16" t="s">
        <v>50</v>
      </c>
      <c r="S145" s="16" t="s">
        <v>50</v>
      </c>
      <c r="T145" s="27" t="s">
        <v>53</v>
      </c>
      <c r="U145" s="16" t="s">
        <v>63</v>
      </c>
      <c r="V145" s="16" t="s">
        <v>50</v>
      </c>
      <c r="W145" s="18" t="s">
        <v>53</v>
      </c>
      <c r="X145" s="27" t="s">
        <v>53</v>
      </c>
      <c r="Y145" s="16" t="s">
        <v>50</v>
      </c>
      <c r="Z145" s="16" t="s">
        <v>50</v>
      </c>
      <c r="AA145" s="27" t="s">
        <v>53</v>
      </c>
      <c r="AB145" s="16" t="s">
        <v>50</v>
      </c>
      <c r="AC145" s="18" t="s">
        <v>53</v>
      </c>
      <c r="AD145" s="21" t="s">
        <v>50</v>
      </c>
      <c r="AE145" s="18" t="s">
        <v>53</v>
      </c>
      <c r="AF145" s="27" t="s">
        <v>53</v>
      </c>
      <c r="AG145" s="16" t="s">
        <v>50</v>
      </c>
      <c r="AH145" s="16" t="s">
        <v>50</v>
      </c>
      <c r="AI145" s="16" t="s">
        <v>50</v>
      </c>
      <c r="AJ145" s="27" t="s">
        <v>53</v>
      </c>
      <c r="AK145" s="18" t="s">
        <v>53</v>
      </c>
      <c r="AL145" s="16" t="s">
        <v>50</v>
      </c>
      <c r="AM145" s="16" t="s">
        <v>50</v>
      </c>
      <c r="AN145" s="18" t="s">
        <v>53</v>
      </c>
      <c r="AO145" s="18" t="s">
        <v>53</v>
      </c>
      <c r="AP145" s="18" t="s">
        <v>53</v>
      </c>
      <c r="AQ145" s="18" t="s">
        <v>53</v>
      </c>
      <c r="AR145" s="5">
        <f t="shared" si="14"/>
        <v>21</v>
      </c>
      <c r="AS145" s="5">
        <f t="shared" si="15"/>
        <v>0</v>
      </c>
      <c r="AT145" s="5">
        <f t="shared" si="16"/>
        <v>20</v>
      </c>
      <c r="AU145">
        <f t="shared" si="17"/>
        <v>1</v>
      </c>
      <c r="AV145">
        <f t="shared" si="18"/>
        <v>0</v>
      </c>
      <c r="AW145">
        <f t="shared" si="19"/>
        <v>42</v>
      </c>
    </row>
    <row r="146" spans="1:49" x14ac:dyDescent="0.35">
      <c r="A146" s="5" t="s">
        <v>197</v>
      </c>
      <c r="B146" s="18" t="s">
        <v>53</v>
      </c>
      <c r="C146" s="18" t="s">
        <v>53</v>
      </c>
      <c r="D146" s="18" t="s">
        <v>53</v>
      </c>
      <c r="E146" s="18" t="s">
        <v>53</v>
      </c>
      <c r="F146" s="18" t="s">
        <v>53</v>
      </c>
      <c r="G146" s="18" t="s">
        <v>53</v>
      </c>
      <c r="H146" s="18" t="s">
        <v>53</v>
      </c>
      <c r="I146" s="18" t="s">
        <v>53</v>
      </c>
      <c r="J146" s="18" t="s">
        <v>53</v>
      </c>
      <c r="K146" s="18" t="s">
        <v>53</v>
      </c>
      <c r="L146" s="18" t="s">
        <v>53</v>
      </c>
      <c r="M146" s="18" t="s">
        <v>53</v>
      </c>
      <c r="N146" s="18" t="s">
        <v>53</v>
      </c>
      <c r="O146" s="18" t="s">
        <v>53</v>
      </c>
      <c r="P146" s="18" t="s">
        <v>53</v>
      </c>
      <c r="Q146" s="18" t="s">
        <v>53</v>
      </c>
      <c r="R146" s="18" t="s">
        <v>53</v>
      </c>
      <c r="S146" s="18" t="s">
        <v>53</v>
      </c>
      <c r="T146" s="18" t="s">
        <v>53</v>
      </c>
      <c r="U146" s="16" t="s">
        <v>63</v>
      </c>
      <c r="V146" s="18" t="s">
        <v>53</v>
      </c>
      <c r="W146" s="18" t="s">
        <v>53</v>
      </c>
      <c r="X146" s="18" t="s">
        <v>53</v>
      </c>
      <c r="Y146" s="18" t="s">
        <v>53</v>
      </c>
      <c r="Z146" s="18" t="s">
        <v>53</v>
      </c>
      <c r="AA146" s="18" t="s">
        <v>53</v>
      </c>
      <c r="AB146" s="18" t="s">
        <v>53</v>
      </c>
      <c r="AC146" s="18" t="s">
        <v>53</v>
      </c>
      <c r="AD146" s="25" t="s">
        <v>53</v>
      </c>
      <c r="AE146" s="18" t="s">
        <v>53</v>
      </c>
      <c r="AF146" s="18" t="s">
        <v>53</v>
      </c>
      <c r="AG146" s="18" t="s">
        <v>53</v>
      </c>
      <c r="AH146" s="18" t="s">
        <v>53</v>
      </c>
      <c r="AI146" s="18" t="s">
        <v>53</v>
      </c>
      <c r="AJ146" s="18" t="s">
        <v>53</v>
      </c>
      <c r="AK146" s="18" t="s">
        <v>53</v>
      </c>
      <c r="AL146" s="18" t="s">
        <v>53</v>
      </c>
      <c r="AM146" s="18" t="s">
        <v>53</v>
      </c>
      <c r="AN146" s="18" t="s">
        <v>53</v>
      </c>
      <c r="AO146" s="18" t="s">
        <v>53</v>
      </c>
      <c r="AP146" s="18" t="s">
        <v>53</v>
      </c>
      <c r="AQ146" s="18" t="s">
        <v>53</v>
      </c>
      <c r="AR146" s="5">
        <f t="shared" si="14"/>
        <v>41</v>
      </c>
      <c r="AS146" s="5">
        <f t="shared" si="15"/>
        <v>0</v>
      </c>
      <c r="AT146" s="5">
        <f t="shared" si="16"/>
        <v>0</v>
      </c>
      <c r="AU146">
        <f t="shared" si="17"/>
        <v>1</v>
      </c>
      <c r="AV146">
        <f t="shared" si="18"/>
        <v>0</v>
      </c>
      <c r="AW146">
        <f t="shared" si="19"/>
        <v>42</v>
      </c>
    </row>
    <row r="147" spans="1:49" x14ac:dyDescent="0.35">
      <c r="A147" s="5" t="s">
        <v>198</v>
      </c>
      <c r="B147" s="16" t="s">
        <v>50</v>
      </c>
      <c r="C147" s="16" t="s">
        <v>50</v>
      </c>
      <c r="D147" s="16" t="s">
        <v>51</v>
      </c>
      <c r="E147" s="16" t="s">
        <v>50</v>
      </c>
      <c r="F147" s="16" t="s">
        <v>50</v>
      </c>
      <c r="G147" s="16" t="s">
        <v>50</v>
      </c>
      <c r="H147" s="16" t="s">
        <v>50</v>
      </c>
      <c r="I147" s="16" t="s">
        <v>50</v>
      </c>
      <c r="J147" s="28" t="s">
        <v>51</v>
      </c>
      <c r="K147" s="26" t="s">
        <v>51</v>
      </c>
      <c r="L147" s="16" t="s">
        <v>50</v>
      </c>
      <c r="M147" s="16" t="s">
        <v>50</v>
      </c>
      <c r="N147" s="16" t="s">
        <v>50</v>
      </c>
      <c r="O147" s="16" t="s">
        <v>50</v>
      </c>
      <c r="P147" s="16" t="s">
        <v>50</v>
      </c>
      <c r="Q147" s="16" t="s">
        <v>50</v>
      </c>
      <c r="R147" s="16" t="s">
        <v>50</v>
      </c>
      <c r="S147" s="16" t="s">
        <v>50</v>
      </c>
      <c r="T147" s="34" t="s">
        <v>50</v>
      </c>
      <c r="U147" s="18" t="s">
        <v>53</v>
      </c>
      <c r="V147" s="16" t="s">
        <v>50</v>
      </c>
      <c r="W147" s="16" t="s">
        <v>50</v>
      </c>
      <c r="X147" s="16" t="s">
        <v>50</v>
      </c>
      <c r="Y147" s="16" t="s">
        <v>50</v>
      </c>
      <c r="Z147" s="16" t="s">
        <v>50</v>
      </c>
      <c r="AA147" s="16" t="s">
        <v>50</v>
      </c>
      <c r="AB147" s="16" t="s">
        <v>50</v>
      </c>
      <c r="AC147" s="16" t="s">
        <v>50</v>
      </c>
      <c r="AD147" s="16" t="s">
        <v>50</v>
      </c>
      <c r="AE147" s="16" t="s">
        <v>50</v>
      </c>
      <c r="AF147" s="16" t="s">
        <v>50</v>
      </c>
      <c r="AG147" s="16" t="s">
        <v>50</v>
      </c>
      <c r="AH147" s="16" t="s">
        <v>50</v>
      </c>
      <c r="AI147" s="27" t="s">
        <v>53</v>
      </c>
      <c r="AJ147" s="16" t="s">
        <v>50</v>
      </c>
      <c r="AK147" s="16" t="s">
        <v>50</v>
      </c>
      <c r="AL147" s="16" t="s">
        <v>50</v>
      </c>
      <c r="AM147" s="16" t="s">
        <v>50</v>
      </c>
      <c r="AN147" s="16" t="s">
        <v>50</v>
      </c>
      <c r="AO147" s="16" t="s">
        <v>50</v>
      </c>
      <c r="AP147" s="16" t="s">
        <v>50</v>
      </c>
      <c r="AQ147" s="16" t="s">
        <v>50</v>
      </c>
      <c r="AR147" s="5">
        <f t="shared" si="14"/>
        <v>2</v>
      </c>
      <c r="AS147" s="5">
        <f t="shared" si="15"/>
        <v>3</v>
      </c>
      <c r="AT147" s="5">
        <f t="shared" si="16"/>
        <v>37</v>
      </c>
      <c r="AU147">
        <f t="shared" si="17"/>
        <v>0</v>
      </c>
      <c r="AV147">
        <f t="shared" si="18"/>
        <v>0</v>
      </c>
      <c r="AW147">
        <f t="shared" si="19"/>
        <v>42</v>
      </c>
    </row>
    <row r="148" spans="1:49" x14ac:dyDescent="0.35">
      <c r="A148" s="5" t="s">
        <v>199</v>
      </c>
      <c r="B148" s="16" t="s">
        <v>51</v>
      </c>
      <c r="C148" s="16" t="s">
        <v>51</v>
      </c>
      <c r="D148" s="16" t="s">
        <v>51</v>
      </c>
      <c r="E148" s="16" t="s">
        <v>51</v>
      </c>
      <c r="F148" s="26" t="s">
        <v>50</v>
      </c>
      <c r="G148" s="16" t="s">
        <v>51</v>
      </c>
      <c r="H148" s="16" t="s">
        <v>51</v>
      </c>
      <c r="I148" s="16" t="s">
        <v>51</v>
      </c>
      <c r="J148" s="16" t="s">
        <v>51</v>
      </c>
      <c r="K148" s="16" t="s">
        <v>51</v>
      </c>
      <c r="L148" s="16" t="s">
        <v>50</v>
      </c>
      <c r="M148" s="18" t="s">
        <v>53</v>
      </c>
      <c r="N148" s="16" t="s">
        <v>51</v>
      </c>
      <c r="O148" s="26" t="s">
        <v>50</v>
      </c>
      <c r="P148" s="16" t="s">
        <v>51</v>
      </c>
      <c r="Q148" s="16" t="s">
        <v>51</v>
      </c>
      <c r="R148" s="16" t="s">
        <v>51</v>
      </c>
      <c r="S148" s="16" t="s">
        <v>51</v>
      </c>
      <c r="T148" s="16" t="s">
        <v>51</v>
      </c>
      <c r="U148" s="16" t="s">
        <v>51</v>
      </c>
      <c r="V148" s="16" t="s">
        <v>51</v>
      </c>
      <c r="W148" s="18" t="s">
        <v>53</v>
      </c>
      <c r="X148" s="16" t="s">
        <v>51</v>
      </c>
      <c r="Y148" s="16" t="s">
        <v>51</v>
      </c>
      <c r="Z148" s="16" t="s">
        <v>51</v>
      </c>
      <c r="AA148" s="16" t="s">
        <v>51</v>
      </c>
      <c r="AB148" s="16" t="s">
        <v>51</v>
      </c>
      <c r="AC148" s="16" t="s">
        <v>51</v>
      </c>
      <c r="AD148" s="21" t="s">
        <v>51</v>
      </c>
      <c r="AE148" s="18" t="s">
        <v>53</v>
      </c>
      <c r="AF148" s="16" t="s">
        <v>51</v>
      </c>
      <c r="AG148" s="16" t="s">
        <v>51</v>
      </c>
      <c r="AH148" s="16" t="s">
        <v>51</v>
      </c>
      <c r="AI148" s="16" t="s">
        <v>51</v>
      </c>
      <c r="AJ148" s="16" t="s">
        <v>51</v>
      </c>
      <c r="AK148" s="16" t="s">
        <v>51</v>
      </c>
      <c r="AL148" s="16" t="s">
        <v>51</v>
      </c>
      <c r="AM148" s="16" t="s">
        <v>51</v>
      </c>
      <c r="AN148" s="18" t="s">
        <v>53</v>
      </c>
      <c r="AO148" s="16" t="s">
        <v>51</v>
      </c>
      <c r="AP148" s="16" t="s">
        <v>51</v>
      </c>
      <c r="AQ148" s="16" t="s">
        <v>51</v>
      </c>
      <c r="AR148" s="5">
        <f t="shared" si="14"/>
        <v>4</v>
      </c>
      <c r="AS148" s="5">
        <f t="shared" si="15"/>
        <v>35</v>
      </c>
      <c r="AT148" s="5">
        <f t="shared" si="16"/>
        <v>3</v>
      </c>
      <c r="AU148">
        <f t="shared" si="17"/>
        <v>0</v>
      </c>
      <c r="AV148">
        <f t="shared" si="18"/>
        <v>0</v>
      </c>
      <c r="AW148">
        <f t="shared" si="19"/>
        <v>42</v>
      </c>
    </row>
    <row r="149" spans="1:49" x14ac:dyDescent="0.35">
      <c r="A149" s="7" t="s">
        <v>200</v>
      </c>
      <c r="B149" s="18" t="s">
        <v>53</v>
      </c>
      <c r="C149" s="16" t="s">
        <v>51</v>
      </c>
      <c r="D149" s="16" t="s">
        <v>51</v>
      </c>
      <c r="E149" s="16" t="s">
        <v>51</v>
      </c>
      <c r="F149" s="18" t="s">
        <v>53</v>
      </c>
      <c r="G149" s="16" t="s">
        <v>51</v>
      </c>
      <c r="H149" s="16" t="s">
        <v>51</v>
      </c>
      <c r="I149" s="16" t="s">
        <v>51</v>
      </c>
      <c r="J149" s="27" t="s">
        <v>53</v>
      </c>
      <c r="K149" s="16" t="s">
        <v>51</v>
      </c>
      <c r="L149" s="16" t="s">
        <v>51</v>
      </c>
      <c r="M149" s="18" t="s">
        <v>53</v>
      </c>
      <c r="N149" s="16" t="s">
        <v>51</v>
      </c>
      <c r="O149" s="16" t="s">
        <v>51</v>
      </c>
      <c r="P149" s="16" t="s">
        <v>51</v>
      </c>
      <c r="Q149" s="26" t="s">
        <v>51</v>
      </c>
      <c r="R149" s="35" t="s">
        <v>51</v>
      </c>
      <c r="S149" s="16" t="s">
        <v>51</v>
      </c>
      <c r="T149" s="18" t="s">
        <v>53</v>
      </c>
      <c r="U149" s="18" t="s">
        <v>53</v>
      </c>
      <c r="V149" s="18" t="s">
        <v>53</v>
      </c>
      <c r="W149" s="18" t="s">
        <v>53</v>
      </c>
      <c r="X149" s="16" t="s">
        <v>51</v>
      </c>
      <c r="Y149" s="18" t="s">
        <v>53</v>
      </c>
      <c r="Z149" s="34" t="s">
        <v>51</v>
      </c>
      <c r="AA149" s="18" t="s">
        <v>53</v>
      </c>
      <c r="AB149" s="18" t="s">
        <v>53</v>
      </c>
      <c r="AC149" s="18" t="s">
        <v>53</v>
      </c>
      <c r="AD149" s="21" t="s">
        <v>51</v>
      </c>
      <c r="AE149" s="18" t="s">
        <v>53</v>
      </c>
      <c r="AF149" s="16" t="s">
        <v>51</v>
      </c>
      <c r="AG149" s="18" t="s">
        <v>53</v>
      </c>
      <c r="AH149" s="16" t="s">
        <v>51</v>
      </c>
      <c r="AI149" s="16" t="s">
        <v>51</v>
      </c>
      <c r="AJ149" s="16" t="s">
        <v>51</v>
      </c>
      <c r="AK149" s="18" t="s">
        <v>53</v>
      </c>
      <c r="AL149" s="28" t="s">
        <v>51</v>
      </c>
      <c r="AM149" s="16" t="s">
        <v>51</v>
      </c>
      <c r="AN149" s="18" t="s">
        <v>53</v>
      </c>
      <c r="AO149" s="18" t="s">
        <v>53</v>
      </c>
      <c r="AP149" s="16" t="s">
        <v>51</v>
      </c>
      <c r="AQ149" s="16" t="s">
        <v>51</v>
      </c>
      <c r="AR149" s="5">
        <f t="shared" si="14"/>
        <v>17</v>
      </c>
      <c r="AS149" s="5">
        <f t="shared" si="15"/>
        <v>25</v>
      </c>
      <c r="AT149" s="5">
        <f t="shared" si="16"/>
        <v>0</v>
      </c>
      <c r="AU149">
        <f t="shared" si="17"/>
        <v>0</v>
      </c>
      <c r="AV149">
        <f t="shared" si="18"/>
        <v>0</v>
      </c>
      <c r="AW149">
        <f t="shared" si="19"/>
        <v>42</v>
      </c>
    </row>
    <row r="150" spans="1:49" x14ac:dyDescent="0.35">
      <c r="A150" s="7" t="s">
        <v>201</v>
      </c>
      <c r="B150" s="16" t="s">
        <v>51</v>
      </c>
      <c r="C150" s="28" t="s">
        <v>51</v>
      </c>
      <c r="D150" s="16" t="s">
        <v>51</v>
      </c>
      <c r="E150" s="16" t="s">
        <v>51</v>
      </c>
      <c r="F150" s="18" t="s">
        <v>53</v>
      </c>
      <c r="G150" s="16" t="s">
        <v>51</v>
      </c>
      <c r="H150" s="16" t="s">
        <v>51</v>
      </c>
      <c r="I150" s="16" t="s">
        <v>51</v>
      </c>
      <c r="J150" s="16" t="s">
        <v>51</v>
      </c>
      <c r="K150" s="16" t="s">
        <v>51</v>
      </c>
      <c r="L150" s="16" t="s">
        <v>51</v>
      </c>
      <c r="M150" s="18" t="s">
        <v>53</v>
      </c>
      <c r="N150" s="16" t="s">
        <v>51</v>
      </c>
      <c r="O150" s="16" t="s">
        <v>51</v>
      </c>
      <c r="P150" s="16" t="s">
        <v>51</v>
      </c>
      <c r="Q150" s="16" t="s">
        <v>51</v>
      </c>
      <c r="R150" s="27" t="s">
        <v>53</v>
      </c>
      <c r="S150" s="16" t="s">
        <v>51</v>
      </c>
      <c r="T150" s="16" t="s">
        <v>50</v>
      </c>
      <c r="U150" s="16" t="s">
        <v>51</v>
      </c>
      <c r="V150" s="18" t="s">
        <v>53</v>
      </c>
      <c r="W150" s="27" t="s">
        <v>53</v>
      </c>
      <c r="X150" s="18" t="s">
        <v>53</v>
      </c>
      <c r="Y150" s="16" t="s">
        <v>51</v>
      </c>
      <c r="Z150" s="18" t="s">
        <v>53</v>
      </c>
      <c r="AA150" s="27" t="s">
        <v>53</v>
      </c>
      <c r="AB150" s="16" t="s">
        <v>51</v>
      </c>
      <c r="AC150" s="16" t="s">
        <v>51</v>
      </c>
      <c r="AD150" s="25" t="s">
        <v>53</v>
      </c>
      <c r="AE150" s="16" t="s">
        <v>51</v>
      </c>
      <c r="AF150" s="16" t="s">
        <v>51</v>
      </c>
      <c r="AG150" s="18" t="s">
        <v>53</v>
      </c>
      <c r="AH150" s="16" t="s">
        <v>51</v>
      </c>
      <c r="AI150" s="16" t="s">
        <v>51</v>
      </c>
      <c r="AJ150" s="16" t="s">
        <v>51</v>
      </c>
      <c r="AK150" s="16" t="s">
        <v>51</v>
      </c>
      <c r="AL150" s="16" t="s">
        <v>51</v>
      </c>
      <c r="AM150" s="16" t="s">
        <v>51</v>
      </c>
      <c r="AN150" s="18" t="s">
        <v>53</v>
      </c>
      <c r="AO150" s="16" t="s">
        <v>51</v>
      </c>
      <c r="AP150" s="16" t="s">
        <v>51</v>
      </c>
      <c r="AQ150" s="27" t="s">
        <v>53</v>
      </c>
      <c r="AR150" s="5">
        <f t="shared" si="14"/>
        <v>12</v>
      </c>
      <c r="AS150" s="5">
        <f t="shared" si="15"/>
        <v>29</v>
      </c>
      <c r="AT150" s="5">
        <f t="shared" si="16"/>
        <v>1</v>
      </c>
      <c r="AU150">
        <f t="shared" si="17"/>
        <v>0</v>
      </c>
      <c r="AV150">
        <f t="shared" si="18"/>
        <v>0</v>
      </c>
      <c r="AW150">
        <f t="shared" si="19"/>
        <v>42</v>
      </c>
    </row>
    <row r="151" spans="1:49" x14ac:dyDescent="0.35">
      <c r="A151" s="5" t="s">
        <v>202</v>
      </c>
      <c r="B151" s="16" t="s">
        <v>51</v>
      </c>
      <c r="C151" s="28" t="s">
        <v>51</v>
      </c>
      <c r="D151" s="16" t="s">
        <v>51</v>
      </c>
      <c r="E151" s="16" t="s">
        <v>51</v>
      </c>
      <c r="F151" s="16" t="s">
        <v>51</v>
      </c>
      <c r="G151" s="18" t="s">
        <v>53</v>
      </c>
      <c r="H151" s="16" t="s">
        <v>51</v>
      </c>
      <c r="I151" s="16" t="s">
        <v>51</v>
      </c>
      <c r="J151" s="26" t="s">
        <v>51</v>
      </c>
      <c r="K151" s="16" t="s">
        <v>51</v>
      </c>
      <c r="L151" s="16" t="s">
        <v>51</v>
      </c>
      <c r="M151" s="27" t="s">
        <v>53</v>
      </c>
      <c r="N151" s="16" t="s">
        <v>51</v>
      </c>
      <c r="O151" s="16" t="s">
        <v>51</v>
      </c>
      <c r="P151" s="16" t="s">
        <v>51</v>
      </c>
      <c r="Q151" s="16" t="s">
        <v>51</v>
      </c>
      <c r="R151" s="27" t="s">
        <v>53</v>
      </c>
      <c r="S151" s="16" t="s">
        <v>51</v>
      </c>
      <c r="T151" s="16" t="s">
        <v>51</v>
      </c>
      <c r="U151" s="16" t="s">
        <v>51</v>
      </c>
      <c r="V151" s="27" t="s">
        <v>53</v>
      </c>
      <c r="W151" s="18" t="s">
        <v>53</v>
      </c>
      <c r="X151" s="16" t="s">
        <v>51</v>
      </c>
      <c r="Y151" s="18" t="s">
        <v>53</v>
      </c>
      <c r="Z151" s="18" t="s">
        <v>53</v>
      </c>
      <c r="AA151" s="16" t="s">
        <v>51</v>
      </c>
      <c r="AB151" s="16" t="s">
        <v>50</v>
      </c>
      <c r="AC151" s="16" t="s">
        <v>51</v>
      </c>
      <c r="AD151" s="21" t="s">
        <v>51</v>
      </c>
      <c r="AE151" s="16" t="s">
        <v>51</v>
      </c>
      <c r="AF151" s="16" t="s">
        <v>51</v>
      </c>
      <c r="AG151" s="16" t="s">
        <v>50</v>
      </c>
      <c r="AH151" s="27" t="s">
        <v>53</v>
      </c>
      <c r="AI151" s="16" t="s">
        <v>51</v>
      </c>
      <c r="AJ151" s="16" t="s">
        <v>51</v>
      </c>
      <c r="AK151" s="16" t="s">
        <v>51</v>
      </c>
      <c r="AL151" s="28" t="s">
        <v>51</v>
      </c>
      <c r="AM151" s="16" t="s">
        <v>51</v>
      </c>
      <c r="AN151" s="16" t="s">
        <v>51</v>
      </c>
      <c r="AO151" s="16" t="s">
        <v>51</v>
      </c>
      <c r="AP151" s="16" t="s">
        <v>51</v>
      </c>
      <c r="AQ151" s="16" t="s">
        <v>51</v>
      </c>
      <c r="AR151" s="5">
        <f t="shared" si="14"/>
        <v>8</v>
      </c>
      <c r="AS151" s="5">
        <f t="shared" si="15"/>
        <v>32</v>
      </c>
      <c r="AT151" s="5">
        <f t="shared" si="16"/>
        <v>2</v>
      </c>
      <c r="AU151">
        <f t="shared" si="17"/>
        <v>0</v>
      </c>
      <c r="AV151">
        <f t="shared" si="18"/>
        <v>0</v>
      </c>
      <c r="AW151">
        <f t="shared" si="19"/>
        <v>42</v>
      </c>
    </row>
    <row r="152" spans="1:49" x14ac:dyDescent="0.35">
      <c r="A152" s="5" t="s">
        <v>203</v>
      </c>
      <c r="B152" s="16" t="s">
        <v>50</v>
      </c>
      <c r="C152" s="16" t="s">
        <v>50</v>
      </c>
      <c r="D152" s="16" t="s">
        <v>50</v>
      </c>
      <c r="E152" s="16" t="s">
        <v>50</v>
      </c>
      <c r="F152" s="16" t="s">
        <v>50</v>
      </c>
      <c r="G152" s="16" t="s">
        <v>50</v>
      </c>
      <c r="H152" s="16" t="s">
        <v>50</v>
      </c>
      <c r="I152" s="16" t="s">
        <v>50</v>
      </c>
      <c r="J152" s="16" t="s">
        <v>51</v>
      </c>
      <c r="K152" s="16" t="s">
        <v>50</v>
      </c>
      <c r="L152" s="16" t="s">
        <v>50</v>
      </c>
      <c r="M152" s="16" t="s">
        <v>50</v>
      </c>
      <c r="N152" s="16" t="s">
        <v>50</v>
      </c>
      <c r="O152" s="16" t="s">
        <v>50</v>
      </c>
      <c r="P152" s="16" t="s">
        <v>50</v>
      </c>
      <c r="Q152" s="16" t="s">
        <v>50</v>
      </c>
      <c r="R152" s="16" t="s">
        <v>50</v>
      </c>
      <c r="S152" s="16" t="s">
        <v>50</v>
      </c>
      <c r="T152" s="26" t="s">
        <v>50</v>
      </c>
      <c r="U152" s="16" t="s">
        <v>51</v>
      </c>
      <c r="V152" s="16" t="s">
        <v>50</v>
      </c>
      <c r="W152" s="16" t="s">
        <v>51</v>
      </c>
      <c r="X152" s="16" t="s">
        <v>50</v>
      </c>
      <c r="Y152" s="18" t="s">
        <v>53</v>
      </c>
      <c r="Z152" s="16" t="s">
        <v>50</v>
      </c>
      <c r="AA152" s="16" t="s">
        <v>51</v>
      </c>
      <c r="AB152" s="16" t="s">
        <v>50</v>
      </c>
      <c r="AC152" s="18" t="s">
        <v>53</v>
      </c>
      <c r="AD152" s="16" t="s">
        <v>50</v>
      </c>
      <c r="AE152" s="16" t="s">
        <v>50</v>
      </c>
      <c r="AF152" s="16" t="s">
        <v>50</v>
      </c>
      <c r="AG152" s="16" t="s">
        <v>50</v>
      </c>
      <c r="AH152" s="16" t="s">
        <v>50</v>
      </c>
      <c r="AI152" s="16" t="s">
        <v>50</v>
      </c>
      <c r="AJ152" s="16" t="s">
        <v>50</v>
      </c>
      <c r="AK152" s="16" t="s">
        <v>50</v>
      </c>
      <c r="AL152" s="16" t="s">
        <v>50</v>
      </c>
      <c r="AM152" s="16" t="s">
        <v>50</v>
      </c>
      <c r="AN152" s="16" t="s">
        <v>51</v>
      </c>
      <c r="AO152" s="16" t="s">
        <v>50</v>
      </c>
      <c r="AP152" s="16" t="s">
        <v>50</v>
      </c>
      <c r="AQ152" s="16" t="s">
        <v>50</v>
      </c>
      <c r="AR152" s="5">
        <f t="shared" si="14"/>
        <v>2</v>
      </c>
      <c r="AS152" s="5">
        <f t="shared" si="15"/>
        <v>5</v>
      </c>
      <c r="AT152" s="5">
        <f t="shared" si="16"/>
        <v>35</v>
      </c>
      <c r="AU152">
        <f t="shared" si="17"/>
        <v>0</v>
      </c>
      <c r="AV152">
        <f t="shared" si="18"/>
        <v>0</v>
      </c>
      <c r="AW152">
        <f t="shared" si="19"/>
        <v>42</v>
      </c>
    </row>
    <row r="153" spans="1:49" x14ac:dyDescent="0.35">
      <c r="A153" s="5" t="s">
        <v>204</v>
      </c>
      <c r="B153" s="16" t="s">
        <v>50</v>
      </c>
      <c r="C153" s="16" t="s">
        <v>50</v>
      </c>
      <c r="D153" s="16" t="s">
        <v>51</v>
      </c>
      <c r="E153" s="16" t="s">
        <v>50</v>
      </c>
      <c r="F153" s="16" t="s">
        <v>50</v>
      </c>
      <c r="G153" s="28" t="s">
        <v>51</v>
      </c>
      <c r="H153" s="16" t="s">
        <v>51</v>
      </c>
      <c r="I153" s="16" t="s">
        <v>51</v>
      </c>
      <c r="J153" s="16" t="s">
        <v>51</v>
      </c>
      <c r="K153" s="26" t="s">
        <v>50</v>
      </c>
      <c r="L153" s="16" t="s">
        <v>51</v>
      </c>
      <c r="M153" s="16" t="s">
        <v>50</v>
      </c>
      <c r="N153" s="16" t="s">
        <v>50</v>
      </c>
      <c r="O153" s="16" t="s">
        <v>50</v>
      </c>
      <c r="P153" s="16" t="s">
        <v>50</v>
      </c>
      <c r="Q153" s="16" t="s">
        <v>50</v>
      </c>
      <c r="R153" s="16" t="s">
        <v>51</v>
      </c>
      <c r="S153" s="18" t="s">
        <v>53</v>
      </c>
      <c r="T153" s="26" t="s">
        <v>51</v>
      </c>
      <c r="U153" s="16" t="s">
        <v>51</v>
      </c>
      <c r="V153" s="18" t="s">
        <v>53</v>
      </c>
      <c r="W153" s="16" t="s">
        <v>51</v>
      </c>
      <c r="X153" s="16" t="s">
        <v>50</v>
      </c>
      <c r="Y153" s="16" t="s">
        <v>51</v>
      </c>
      <c r="Z153" s="16" t="s">
        <v>50</v>
      </c>
      <c r="AA153" s="26" t="s">
        <v>51</v>
      </c>
      <c r="AB153" s="16" t="s">
        <v>50</v>
      </c>
      <c r="AC153" s="28" t="s">
        <v>51</v>
      </c>
      <c r="AD153" s="16" t="s">
        <v>51</v>
      </c>
      <c r="AE153" s="18" t="s">
        <v>53</v>
      </c>
      <c r="AF153" s="16" t="s">
        <v>50</v>
      </c>
      <c r="AG153" s="16" t="s">
        <v>51</v>
      </c>
      <c r="AH153" s="26" t="s">
        <v>51</v>
      </c>
      <c r="AI153" s="16" t="s">
        <v>50</v>
      </c>
      <c r="AJ153" s="16" t="s">
        <v>51</v>
      </c>
      <c r="AK153" s="16" t="s">
        <v>50</v>
      </c>
      <c r="AL153" s="16" t="s">
        <v>50</v>
      </c>
      <c r="AM153" s="16" t="s">
        <v>51</v>
      </c>
      <c r="AN153" s="16" t="s">
        <v>50</v>
      </c>
      <c r="AO153" s="18" t="s">
        <v>53</v>
      </c>
      <c r="AP153" s="16" t="s">
        <v>51</v>
      </c>
      <c r="AQ153" s="16" t="s">
        <v>50</v>
      </c>
      <c r="AR153" s="5">
        <f t="shared" si="14"/>
        <v>4</v>
      </c>
      <c r="AS153" s="5">
        <f t="shared" si="15"/>
        <v>19</v>
      </c>
      <c r="AT153" s="5">
        <f t="shared" si="16"/>
        <v>19</v>
      </c>
      <c r="AU153">
        <f t="shared" si="17"/>
        <v>0</v>
      </c>
      <c r="AV153">
        <f t="shared" si="18"/>
        <v>0</v>
      </c>
      <c r="AW153">
        <f t="shared" si="19"/>
        <v>42</v>
      </c>
    </row>
    <row r="154" spans="1:49" x14ac:dyDescent="0.35">
      <c r="A154" s="7" t="s">
        <v>205</v>
      </c>
      <c r="B154" s="18" t="s">
        <v>53</v>
      </c>
      <c r="C154" s="18" t="s">
        <v>53</v>
      </c>
      <c r="D154" s="31" t="s">
        <v>53</v>
      </c>
      <c r="E154" s="18" t="s">
        <v>53</v>
      </c>
      <c r="F154" s="18" t="s">
        <v>53</v>
      </c>
      <c r="G154" s="18" t="s">
        <v>53</v>
      </c>
      <c r="H154" s="18" t="s">
        <v>53</v>
      </c>
      <c r="I154" s="18" t="s">
        <v>53</v>
      </c>
      <c r="J154" s="18" t="s">
        <v>53</v>
      </c>
      <c r="K154" s="18" t="s">
        <v>53</v>
      </c>
      <c r="L154" s="18" t="s">
        <v>53</v>
      </c>
      <c r="M154" s="18" t="s">
        <v>53</v>
      </c>
      <c r="N154" s="18" t="s">
        <v>53</v>
      </c>
      <c r="O154" s="18" t="s">
        <v>53</v>
      </c>
      <c r="P154" s="18" t="s">
        <v>53</v>
      </c>
      <c r="Q154" s="18" t="s">
        <v>53</v>
      </c>
      <c r="R154" s="18" t="s">
        <v>53</v>
      </c>
      <c r="S154" s="18" t="s">
        <v>53</v>
      </c>
      <c r="T154" s="18" t="s">
        <v>53</v>
      </c>
      <c r="U154" s="18" t="s">
        <v>53</v>
      </c>
      <c r="V154" s="18" t="s">
        <v>53</v>
      </c>
      <c r="W154" s="18" t="s">
        <v>53</v>
      </c>
      <c r="X154" s="18" t="s">
        <v>53</v>
      </c>
      <c r="Y154" s="18" t="s">
        <v>53</v>
      </c>
      <c r="Z154" s="18" t="s">
        <v>53</v>
      </c>
      <c r="AA154" s="18" t="s">
        <v>53</v>
      </c>
      <c r="AB154" s="18" t="s">
        <v>53</v>
      </c>
      <c r="AC154" s="18" t="s">
        <v>53</v>
      </c>
      <c r="AD154" s="25" t="s">
        <v>53</v>
      </c>
      <c r="AE154" s="18" t="s">
        <v>53</v>
      </c>
      <c r="AF154" s="18" t="s">
        <v>53</v>
      </c>
      <c r="AG154" s="18" t="s">
        <v>53</v>
      </c>
      <c r="AH154" s="18" t="s">
        <v>53</v>
      </c>
      <c r="AI154" s="18" t="s">
        <v>53</v>
      </c>
      <c r="AJ154" s="18" t="s">
        <v>53</v>
      </c>
      <c r="AK154" s="18" t="s">
        <v>53</v>
      </c>
      <c r="AL154" s="18" t="s">
        <v>53</v>
      </c>
      <c r="AM154" s="18" t="s">
        <v>53</v>
      </c>
      <c r="AN154" s="18" t="s">
        <v>53</v>
      </c>
      <c r="AO154" s="18" t="s">
        <v>53</v>
      </c>
      <c r="AP154" s="18" t="s">
        <v>53</v>
      </c>
      <c r="AQ154" s="18" t="s">
        <v>53</v>
      </c>
      <c r="AR154" s="5">
        <f t="shared" si="14"/>
        <v>42</v>
      </c>
      <c r="AS154" s="5">
        <f t="shared" si="15"/>
        <v>0</v>
      </c>
      <c r="AT154" s="5">
        <f t="shared" si="16"/>
        <v>0</v>
      </c>
      <c r="AU154">
        <f t="shared" si="17"/>
        <v>0</v>
      </c>
      <c r="AV154">
        <f t="shared" si="18"/>
        <v>0</v>
      </c>
      <c r="AW154">
        <f t="shared" si="19"/>
        <v>42</v>
      </c>
    </row>
    <row r="155" spans="1:49" x14ac:dyDescent="0.35">
      <c r="A155" s="5" t="s">
        <v>206</v>
      </c>
      <c r="B155" s="16" t="s">
        <v>51</v>
      </c>
      <c r="C155" s="16" t="s">
        <v>50</v>
      </c>
      <c r="D155" s="16" t="s">
        <v>51</v>
      </c>
      <c r="E155" s="16" t="s">
        <v>50</v>
      </c>
      <c r="F155" s="28" t="s">
        <v>51</v>
      </c>
      <c r="G155" s="16" t="s">
        <v>50</v>
      </c>
      <c r="H155" s="16" t="s">
        <v>51</v>
      </c>
      <c r="I155" s="16" t="s">
        <v>50</v>
      </c>
      <c r="J155" s="16" t="s">
        <v>51</v>
      </c>
      <c r="K155" s="18" t="s">
        <v>53</v>
      </c>
      <c r="L155" s="16" t="s">
        <v>51</v>
      </c>
      <c r="M155" s="16" t="s">
        <v>51</v>
      </c>
      <c r="N155" s="16" t="s">
        <v>51</v>
      </c>
      <c r="O155" s="16" t="s">
        <v>51</v>
      </c>
      <c r="P155" s="16" t="s">
        <v>51</v>
      </c>
      <c r="Q155" s="28" t="s">
        <v>51</v>
      </c>
      <c r="R155" s="16" t="s">
        <v>51</v>
      </c>
      <c r="S155" s="28" t="s">
        <v>51</v>
      </c>
      <c r="T155" s="16" t="s">
        <v>50</v>
      </c>
      <c r="U155" s="16" t="s">
        <v>51</v>
      </c>
      <c r="V155" s="28" t="s">
        <v>51</v>
      </c>
      <c r="W155" s="27" t="s">
        <v>53</v>
      </c>
      <c r="X155" s="26" t="s">
        <v>50</v>
      </c>
      <c r="Y155" s="18" t="s">
        <v>53</v>
      </c>
      <c r="Z155" s="27" t="s">
        <v>53</v>
      </c>
      <c r="AA155" s="16" t="s">
        <v>50</v>
      </c>
      <c r="AB155" s="16" t="s">
        <v>50</v>
      </c>
      <c r="AC155" s="16" t="s">
        <v>51</v>
      </c>
      <c r="AD155" s="21" t="s">
        <v>50</v>
      </c>
      <c r="AE155" s="16" t="s">
        <v>51</v>
      </c>
      <c r="AF155" s="16" t="s">
        <v>50</v>
      </c>
      <c r="AG155" s="16" t="s">
        <v>50</v>
      </c>
      <c r="AH155" s="18" t="s">
        <v>53</v>
      </c>
      <c r="AI155" s="16" t="s">
        <v>50</v>
      </c>
      <c r="AJ155" s="16" t="s">
        <v>51</v>
      </c>
      <c r="AK155" s="18" t="s">
        <v>53</v>
      </c>
      <c r="AL155" s="16" t="s">
        <v>50</v>
      </c>
      <c r="AM155" s="18" t="s">
        <v>53</v>
      </c>
      <c r="AN155" s="16" t="s">
        <v>50</v>
      </c>
      <c r="AO155" s="16" t="s">
        <v>50</v>
      </c>
      <c r="AP155" s="16" t="s">
        <v>50</v>
      </c>
      <c r="AQ155" s="16" t="s">
        <v>50</v>
      </c>
      <c r="AR155" s="5">
        <f t="shared" si="14"/>
        <v>7</v>
      </c>
      <c r="AS155" s="5">
        <f t="shared" si="15"/>
        <v>18</v>
      </c>
      <c r="AT155" s="5">
        <f t="shared" si="16"/>
        <v>17</v>
      </c>
      <c r="AU155">
        <f t="shared" si="17"/>
        <v>0</v>
      </c>
      <c r="AV155">
        <f t="shared" si="18"/>
        <v>0</v>
      </c>
      <c r="AW155">
        <f t="shared" si="19"/>
        <v>42</v>
      </c>
    </row>
    <row r="156" spans="1:49" x14ac:dyDescent="0.35">
      <c r="A156" s="5" t="s">
        <v>207</v>
      </c>
      <c r="B156" s="16" t="s">
        <v>50</v>
      </c>
      <c r="C156" s="16" t="s">
        <v>50</v>
      </c>
      <c r="D156" s="16" t="s">
        <v>50</v>
      </c>
      <c r="E156" s="16" t="s">
        <v>50</v>
      </c>
      <c r="F156" s="16" t="s">
        <v>50</v>
      </c>
      <c r="G156" s="16" t="s">
        <v>51</v>
      </c>
      <c r="H156" s="16" t="s">
        <v>50</v>
      </c>
      <c r="I156" s="16" t="s">
        <v>50</v>
      </c>
      <c r="J156" s="16" t="s">
        <v>50</v>
      </c>
      <c r="K156" s="18" t="s">
        <v>53</v>
      </c>
      <c r="L156" s="16" t="s">
        <v>50</v>
      </c>
      <c r="M156" s="16" t="s">
        <v>50</v>
      </c>
      <c r="N156" s="16" t="s">
        <v>50</v>
      </c>
      <c r="O156" s="16" t="s">
        <v>50</v>
      </c>
      <c r="P156" s="16" t="s">
        <v>50</v>
      </c>
      <c r="Q156" s="16" t="s">
        <v>50</v>
      </c>
      <c r="R156" s="16" t="s">
        <v>50</v>
      </c>
      <c r="S156" s="16" t="s">
        <v>50</v>
      </c>
      <c r="T156" s="16" t="s">
        <v>50</v>
      </c>
      <c r="U156" s="16" t="s">
        <v>50</v>
      </c>
      <c r="V156" s="16" t="s">
        <v>50</v>
      </c>
      <c r="W156" s="16" t="s">
        <v>50</v>
      </c>
      <c r="X156" s="16" t="s">
        <v>50</v>
      </c>
      <c r="Y156" s="16" t="s">
        <v>50</v>
      </c>
      <c r="Z156" s="16" t="s">
        <v>50</v>
      </c>
      <c r="AA156" s="16" t="s">
        <v>50</v>
      </c>
      <c r="AB156" s="16" t="s">
        <v>50</v>
      </c>
      <c r="AC156" s="16" t="s">
        <v>50</v>
      </c>
      <c r="AD156" s="16" t="s">
        <v>50</v>
      </c>
      <c r="AE156" s="16" t="s">
        <v>50</v>
      </c>
      <c r="AF156" s="16" t="s">
        <v>50</v>
      </c>
      <c r="AG156" s="16" t="s">
        <v>50</v>
      </c>
      <c r="AH156" s="16" t="s">
        <v>50</v>
      </c>
      <c r="AI156" s="16" t="s">
        <v>51</v>
      </c>
      <c r="AJ156" s="16" t="s">
        <v>50</v>
      </c>
      <c r="AK156" s="16" t="s">
        <v>50</v>
      </c>
      <c r="AL156" s="16" t="s">
        <v>50</v>
      </c>
      <c r="AM156" s="16" t="s">
        <v>50</v>
      </c>
      <c r="AN156" s="16" t="s">
        <v>50</v>
      </c>
      <c r="AO156" s="16" t="s">
        <v>50</v>
      </c>
      <c r="AP156" s="16" t="s">
        <v>50</v>
      </c>
      <c r="AQ156" s="16" t="s">
        <v>51</v>
      </c>
      <c r="AR156" s="5">
        <f t="shared" si="14"/>
        <v>1</v>
      </c>
      <c r="AS156" s="5">
        <f t="shared" si="15"/>
        <v>3</v>
      </c>
      <c r="AT156" s="5">
        <f t="shared" si="16"/>
        <v>38</v>
      </c>
      <c r="AU156">
        <f t="shared" si="17"/>
        <v>0</v>
      </c>
      <c r="AV156">
        <f t="shared" si="18"/>
        <v>0</v>
      </c>
      <c r="AW156">
        <f t="shared" si="19"/>
        <v>42</v>
      </c>
    </row>
    <row r="157" spans="1:49" x14ac:dyDescent="0.35">
      <c r="A157" s="5" t="s">
        <v>208</v>
      </c>
      <c r="B157" s="16" t="s">
        <v>50</v>
      </c>
      <c r="C157" s="16" t="s">
        <v>50</v>
      </c>
      <c r="D157" s="16" t="s">
        <v>50</v>
      </c>
      <c r="E157" s="16" t="s">
        <v>50</v>
      </c>
      <c r="F157" s="16" t="s">
        <v>50</v>
      </c>
      <c r="G157" s="16" t="s">
        <v>50</v>
      </c>
      <c r="H157" s="16" t="s">
        <v>50</v>
      </c>
      <c r="I157" s="16" t="s">
        <v>50</v>
      </c>
      <c r="J157" s="16" t="s">
        <v>51</v>
      </c>
      <c r="K157" s="16" t="s">
        <v>50</v>
      </c>
      <c r="L157" s="16" t="s">
        <v>50</v>
      </c>
      <c r="M157" s="26" t="s">
        <v>51</v>
      </c>
      <c r="N157" s="16" t="s">
        <v>50</v>
      </c>
      <c r="O157" s="16" t="s">
        <v>50</v>
      </c>
      <c r="P157" s="16" t="s">
        <v>50</v>
      </c>
      <c r="Q157" s="16" t="s">
        <v>50</v>
      </c>
      <c r="R157" s="18" t="s">
        <v>53</v>
      </c>
      <c r="S157" s="16" t="s">
        <v>50</v>
      </c>
      <c r="T157" s="16" t="s">
        <v>50</v>
      </c>
      <c r="U157" s="16" t="s">
        <v>50</v>
      </c>
      <c r="V157" s="16" t="s">
        <v>50</v>
      </c>
      <c r="W157" s="16" t="s">
        <v>50</v>
      </c>
      <c r="X157" s="16" t="s">
        <v>50</v>
      </c>
      <c r="Y157" s="16" t="s">
        <v>50</v>
      </c>
      <c r="Z157" s="16" t="s">
        <v>50</v>
      </c>
      <c r="AA157" s="16" t="s">
        <v>50</v>
      </c>
      <c r="AB157" s="16" t="s">
        <v>50</v>
      </c>
      <c r="AC157" s="16" t="s">
        <v>50</v>
      </c>
      <c r="AD157" s="16" t="s">
        <v>50</v>
      </c>
      <c r="AE157" s="16" t="s">
        <v>50</v>
      </c>
      <c r="AF157" s="16" t="s">
        <v>50</v>
      </c>
      <c r="AG157" s="16" t="s">
        <v>50</v>
      </c>
      <c r="AH157" s="26" t="s">
        <v>50</v>
      </c>
      <c r="AI157" s="16" t="s">
        <v>50</v>
      </c>
      <c r="AJ157" s="16" t="s">
        <v>50</v>
      </c>
      <c r="AK157" s="16" t="s">
        <v>50</v>
      </c>
      <c r="AL157" s="16" t="s">
        <v>50</v>
      </c>
      <c r="AM157" s="16" t="s">
        <v>50</v>
      </c>
      <c r="AN157" s="16" t="s">
        <v>50</v>
      </c>
      <c r="AO157" s="16" t="s">
        <v>50</v>
      </c>
      <c r="AP157" s="16" t="s">
        <v>50</v>
      </c>
      <c r="AQ157" s="16" t="s">
        <v>50</v>
      </c>
      <c r="AR157" s="5">
        <f t="shared" si="14"/>
        <v>1</v>
      </c>
      <c r="AS157" s="5">
        <f t="shared" si="15"/>
        <v>2</v>
      </c>
      <c r="AT157" s="5">
        <f t="shared" si="16"/>
        <v>39</v>
      </c>
      <c r="AU157">
        <f t="shared" si="17"/>
        <v>0</v>
      </c>
      <c r="AV157">
        <f t="shared" si="18"/>
        <v>0</v>
      </c>
      <c r="AW157">
        <f t="shared" si="19"/>
        <v>42</v>
      </c>
    </row>
    <row r="158" spans="1:49" x14ac:dyDescent="0.35">
      <c r="A158" s="5" t="s">
        <v>209</v>
      </c>
      <c r="B158" s="16" t="s">
        <v>50</v>
      </c>
      <c r="C158" s="16" t="s">
        <v>51</v>
      </c>
      <c r="D158" s="18" t="s">
        <v>53</v>
      </c>
      <c r="E158" s="16" t="s">
        <v>50</v>
      </c>
      <c r="F158" s="37" t="s">
        <v>50</v>
      </c>
      <c r="G158" s="22" t="s">
        <v>53</v>
      </c>
      <c r="H158" s="16" t="s">
        <v>51</v>
      </c>
      <c r="I158" s="16" t="s">
        <v>50</v>
      </c>
      <c r="J158" s="16" t="s">
        <v>50</v>
      </c>
      <c r="K158" s="18" t="s">
        <v>53</v>
      </c>
      <c r="L158" s="16" t="s">
        <v>50</v>
      </c>
      <c r="M158" s="16" t="s">
        <v>50</v>
      </c>
      <c r="N158" s="18" t="s">
        <v>53</v>
      </c>
      <c r="O158" s="16" t="s">
        <v>50</v>
      </c>
      <c r="P158" s="16" t="s">
        <v>51</v>
      </c>
      <c r="Q158" s="26" t="s">
        <v>50</v>
      </c>
      <c r="R158" s="18" t="s">
        <v>53</v>
      </c>
      <c r="S158" s="16" t="s">
        <v>51</v>
      </c>
      <c r="T158" s="18" t="s">
        <v>53</v>
      </c>
      <c r="U158" s="18" t="s">
        <v>53</v>
      </c>
      <c r="V158" s="27" t="s">
        <v>53</v>
      </c>
      <c r="W158" s="18" t="s">
        <v>53</v>
      </c>
      <c r="X158" s="34" t="s">
        <v>51</v>
      </c>
      <c r="Y158" s="16" t="s">
        <v>51</v>
      </c>
      <c r="Z158" s="16" t="s">
        <v>50</v>
      </c>
      <c r="AA158" s="18" t="s">
        <v>53</v>
      </c>
      <c r="AB158" s="16" t="s">
        <v>51</v>
      </c>
      <c r="AC158" s="16" t="s">
        <v>50</v>
      </c>
      <c r="AD158" s="25" t="s">
        <v>53</v>
      </c>
      <c r="AE158" s="16" t="s">
        <v>50</v>
      </c>
      <c r="AF158" s="16" t="s">
        <v>50</v>
      </c>
      <c r="AG158" s="18" t="s">
        <v>53</v>
      </c>
      <c r="AH158" s="16" t="s">
        <v>51</v>
      </c>
      <c r="AI158" s="16" t="s">
        <v>50</v>
      </c>
      <c r="AJ158" s="16" t="s">
        <v>50</v>
      </c>
      <c r="AK158" s="16" t="s">
        <v>50</v>
      </c>
      <c r="AL158" s="16" t="s">
        <v>50</v>
      </c>
      <c r="AM158" s="16" t="s">
        <v>51</v>
      </c>
      <c r="AN158" s="18" t="s">
        <v>53</v>
      </c>
      <c r="AO158" s="16" t="s">
        <v>50</v>
      </c>
      <c r="AP158" s="18" t="s">
        <v>53</v>
      </c>
      <c r="AQ158" s="16" t="s">
        <v>50</v>
      </c>
      <c r="AR158" s="5">
        <f t="shared" si="14"/>
        <v>14</v>
      </c>
      <c r="AS158" s="5">
        <f t="shared" si="15"/>
        <v>9</v>
      </c>
      <c r="AT158" s="5">
        <f t="shared" si="16"/>
        <v>19</v>
      </c>
      <c r="AU158">
        <f t="shared" si="17"/>
        <v>0</v>
      </c>
      <c r="AV158">
        <f t="shared" si="18"/>
        <v>0</v>
      </c>
      <c r="AW158">
        <f>SUM(AR158:AV158)</f>
        <v>42</v>
      </c>
    </row>
    <row r="159" spans="1:49" x14ac:dyDescent="0.35">
      <c r="A159" s="5" t="s">
        <v>210</v>
      </c>
      <c r="B159" s="16" t="s">
        <v>50</v>
      </c>
      <c r="C159" s="16" t="s">
        <v>50</v>
      </c>
      <c r="D159" s="16" t="s">
        <v>50</v>
      </c>
      <c r="E159" s="18" t="s">
        <v>53</v>
      </c>
      <c r="F159" s="36" t="s">
        <v>53</v>
      </c>
      <c r="G159" s="28" t="s">
        <v>50</v>
      </c>
      <c r="H159" s="18" t="s">
        <v>53</v>
      </c>
      <c r="I159" s="18" t="s">
        <v>53</v>
      </c>
      <c r="J159" s="16" t="s">
        <v>50</v>
      </c>
      <c r="K159" s="16" t="s">
        <v>50</v>
      </c>
      <c r="L159" s="16" t="s">
        <v>50</v>
      </c>
      <c r="M159" s="16" t="s">
        <v>50</v>
      </c>
      <c r="N159" s="16" t="s">
        <v>50</v>
      </c>
      <c r="O159" s="16" t="s">
        <v>50</v>
      </c>
      <c r="P159" s="18" t="s">
        <v>53</v>
      </c>
      <c r="Q159" s="16" t="s">
        <v>50</v>
      </c>
      <c r="R159" s="16" t="s">
        <v>50</v>
      </c>
      <c r="S159" s="16" t="s">
        <v>50</v>
      </c>
      <c r="T159" s="16" t="s">
        <v>50</v>
      </c>
      <c r="U159" s="16" t="s">
        <v>50</v>
      </c>
      <c r="V159" s="16" t="s">
        <v>50</v>
      </c>
      <c r="W159" s="18" t="s">
        <v>53</v>
      </c>
      <c r="X159" s="16" t="s">
        <v>50</v>
      </c>
      <c r="Y159" s="18" t="s">
        <v>53</v>
      </c>
      <c r="Z159" s="34" t="s">
        <v>50</v>
      </c>
      <c r="AA159" s="16" t="s">
        <v>50</v>
      </c>
      <c r="AB159" s="16" t="s">
        <v>50</v>
      </c>
      <c r="AC159" s="18" t="s">
        <v>53</v>
      </c>
      <c r="AD159" s="18" t="s">
        <v>53</v>
      </c>
      <c r="AE159" s="18" t="s">
        <v>53</v>
      </c>
      <c r="AF159" s="16" t="s">
        <v>50</v>
      </c>
      <c r="AG159" s="16" t="s">
        <v>50</v>
      </c>
      <c r="AH159" s="18" t="s">
        <v>53</v>
      </c>
      <c r="AI159" s="18" t="s">
        <v>53</v>
      </c>
      <c r="AJ159" s="16" t="s">
        <v>50</v>
      </c>
      <c r="AK159" s="16" t="s">
        <v>50</v>
      </c>
      <c r="AL159" s="18" t="s">
        <v>53</v>
      </c>
      <c r="AM159" s="16" t="s">
        <v>50</v>
      </c>
      <c r="AN159" s="16" t="s">
        <v>50</v>
      </c>
      <c r="AO159" s="16" t="s">
        <v>50</v>
      </c>
      <c r="AP159" s="16" t="s">
        <v>50</v>
      </c>
      <c r="AQ159" s="16" t="s">
        <v>50</v>
      </c>
      <c r="AR159" s="5">
        <f t="shared" si="14"/>
        <v>13</v>
      </c>
      <c r="AS159" s="5">
        <f t="shared" si="15"/>
        <v>0</v>
      </c>
      <c r="AT159" s="5">
        <f t="shared" si="16"/>
        <v>29</v>
      </c>
      <c r="AU159">
        <f t="shared" si="17"/>
        <v>0</v>
      </c>
      <c r="AV159">
        <f t="shared" si="18"/>
        <v>0</v>
      </c>
      <c r="AW159">
        <f t="shared" ref="AW159:AW165" si="20">SUM(AR159:AU159)</f>
        <v>42</v>
      </c>
    </row>
    <row r="160" spans="1:49" ht="29" x14ac:dyDescent="0.35">
      <c r="A160" s="7" t="s">
        <v>211</v>
      </c>
      <c r="B160" s="16" t="s">
        <v>50</v>
      </c>
      <c r="C160" s="16" t="s">
        <v>50</v>
      </c>
      <c r="D160" s="16" t="s">
        <v>50</v>
      </c>
      <c r="E160" s="16" t="s">
        <v>50</v>
      </c>
      <c r="F160" s="16" t="s">
        <v>50</v>
      </c>
      <c r="G160" s="16" t="s">
        <v>50</v>
      </c>
      <c r="H160" s="16" t="s">
        <v>50</v>
      </c>
      <c r="I160" s="16" t="s">
        <v>50</v>
      </c>
      <c r="J160" s="16" t="s">
        <v>50</v>
      </c>
      <c r="K160" s="16" t="s">
        <v>50</v>
      </c>
      <c r="L160" s="16" t="s">
        <v>50</v>
      </c>
      <c r="M160" s="16" t="s">
        <v>51</v>
      </c>
      <c r="N160" s="16" t="s">
        <v>50</v>
      </c>
      <c r="O160" s="16" t="s">
        <v>50</v>
      </c>
      <c r="P160" s="27" t="s">
        <v>53</v>
      </c>
      <c r="Q160" s="16" t="s">
        <v>50</v>
      </c>
      <c r="R160" s="16" t="s">
        <v>50</v>
      </c>
      <c r="S160" s="16" t="s">
        <v>50</v>
      </c>
      <c r="T160" s="16" t="s">
        <v>50</v>
      </c>
      <c r="U160" s="16" t="s">
        <v>50</v>
      </c>
      <c r="V160" s="16" t="s">
        <v>50</v>
      </c>
      <c r="W160" s="27" t="s">
        <v>53</v>
      </c>
      <c r="X160" s="16" t="s">
        <v>50</v>
      </c>
      <c r="Y160" s="16" t="s">
        <v>50</v>
      </c>
      <c r="Z160" s="16" t="s">
        <v>50</v>
      </c>
      <c r="AA160" s="26" t="s">
        <v>51</v>
      </c>
      <c r="AB160" s="16" t="s">
        <v>50</v>
      </c>
      <c r="AC160" s="16" t="s">
        <v>50</v>
      </c>
      <c r="AD160" s="16" t="s">
        <v>50</v>
      </c>
      <c r="AE160" s="16" t="s">
        <v>50</v>
      </c>
      <c r="AF160" s="16" t="s">
        <v>50</v>
      </c>
      <c r="AG160" s="16" t="s">
        <v>50</v>
      </c>
      <c r="AH160" s="28" t="s">
        <v>50</v>
      </c>
      <c r="AI160" s="16" t="s">
        <v>50</v>
      </c>
      <c r="AJ160" s="16" t="s">
        <v>50</v>
      </c>
      <c r="AK160" s="27" t="s">
        <v>53</v>
      </c>
      <c r="AL160" s="16" t="s">
        <v>50</v>
      </c>
      <c r="AM160" s="16" t="s">
        <v>50</v>
      </c>
      <c r="AN160" s="16" t="s">
        <v>50</v>
      </c>
      <c r="AO160" s="16" t="s">
        <v>50</v>
      </c>
      <c r="AP160" s="16" t="s">
        <v>50</v>
      </c>
      <c r="AQ160" s="16" t="s">
        <v>50</v>
      </c>
      <c r="AR160" s="5">
        <f t="shared" si="14"/>
        <v>3</v>
      </c>
      <c r="AS160" s="5">
        <f t="shared" si="15"/>
        <v>2</v>
      </c>
      <c r="AT160" s="5">
        <f t="shared" si="16"/>
        <v>37</v>
      </c>
      <c r="AU160">
        <f t="shared" si="17"/>
        <v>0</v>
      </c>
      <c r="AV160">
        <f t="shared" si="18"/>
        <v>0</v>
      </c>
      <c r="AW160">
        <f t="shared" si="20"/>
        <v>42</v>
      </c>
    </row>
    <row r="161" spans="1:49" x14ac:dyDescent="0.35">
      <c r="A161" s="5" t="s">
        <v>212</v>
      </c>
      <c r="B161" s="16" t="s">
        <v>50</v>
      </c>
      <c r="C161" s="16" t="s">
        <v>50</v>
      </c>
      <c r="D161" s="16" t="s">
        <v>50</v>
      </c>
      <c r="E161" s="18" t="s">
        <v>53</v>
      </c>
      <c r="F161" s="18" t="s">
        <v>53</v>
      </c>
      <c r="G161" s="18" t="s">
        <v>53</v>
      </c>
      <c r="H161" s="18" t="s">
        <v>53</v>
      </c>
      <c r="I161" s="18" t="s">
        <v>53</v>
      </c>
      <c r="J161" s="16" t="s">
        <v>50</v>
      </c>
      <c r="K161" s="18" t="s">
        <v>53</v>
      </c>
      <c r="L161" s="16" t="s">
        <v>50</v>
      </c>
      <c r="M161" s="18" t="s">
        <v>53</v>
      </c>
      <c r="N161" s="16" t="s">
        <v>50</v>
      </c>
      <c r="O161" s="16" t="s">
        <v>50</v>
      </c>
      <c r="P161" s="18" t="s">
        <v>53</v>
      </c>
      <c r="Q161" s="16" t="s">
        <v>50</v>
      </c>
      <c r="R161" s="16" t="s">
        <v>50</v>
      </c>
      <c r="S161" s="16" t="s">
        <v>50</v>
      </c>
      <c r="T161" s="34" t="s">
        <v>50</v>
      </c>
      <c r="U161" s="18" t="s">
        <v>53</v>
      </c>
      <c r="V161" s="27" t="s">
        <v>53</v>
      </c>
      <c r="W161" s="18" t="s">
        <v>53</v>
      </c>
      <c r="X161" s="16" t="s">
        <v>50</v>
      </c>
      <c r="Y161" s="18" t="s">
        <v>53</v>
      </c>
      <c r="Z161" s="18" t="s">
        <v>53</v>
      </c>
      <c r="AA161" s="18" t="s">
        <v>53</v>
      </c>
      <c r="AB161" s="18" t="s">
        <v>53</v>
      </c>
      <c r="AC161" s="42" t="s">
        <v>53</v>
      </c>
      <c r="AD161" s="18" t="s">
        <v>53</v>
      </c>
      <c r="AE161" s="16" t="s">
        <v>50</v>
      </c>
      <c r="AF161" s="16" t="s">
        <v>50</v>
      </c>
      <c r="AG161" s="18" t="s">
        <v>53</v>
      </c>
      <c r="AH161" s="18" t="s">
        <v>53</v>
      </c>
      <c r="AI161" s="18" t="s">
        <v>53</v>
      </c>
      <c r="AJ161" s="18" t="s">
        <v>53</v>
      </c>
      <c r="AK161" s="16" t="s">
        <v>50</v>
      </c>
      <c r="AL161" s="18" t="s">
        <v>53</v>
      </c>
      <c r="AM161" s="18" t="s">
        <v>53</v>
      </c>
      <c r="AN161" s="18" t="s">
        <v>53</v>
      </c>
      <c r="AO161" s="16" t="s">
        <v>50</v>
      </c>
      <c r="AP161" s="16" t="s">
        <v>50</v>
      </c>
      <c r="AQ161" s="18" t="s">
        <v>53</v>
      </c>
      <c r="AR161" s="5">
        <f t="shared" si="14"/>
        <v>25</v>
      </c>
      <c r="AS161" s="5">
        <f t="shared" si="15"/>
        <v>0</v>
      </c>
      <c r="AT161" s="5">
        <f t="shared" si="16"/>
        <v>17</v>
      </c>
      <c r="AU161">
        <f t="shared" si="17"/>
        <v>0</v>
      </c>
      <c r="AV161">
        <f t="shared" si="18"/>
        <v>0</v>
      </c>
      <c r="AW161">
        <f t="shared" si="20"/>
        <v>42</v>
      </c>
    </row>
    <row r="162" spans="1:49" x14ac:dyDescent="0.35">
      <c r="A162" s="5" t="s">
        <v>213</v>
      </c>
      <c r="B162" s="16" t="s">
        <v>50</v>
      </c>
      <c r="C162" s="16" t="s">
        <v>50</v>
      </c>
      <c r="D162" s="16" t="s">
        <v>50</v>
      </c>
      <c r="E162" s="18" t="s">
        <v>53</v>
      </c>
      <c r="F162" s="36" t="s">
        <v>53</v>
      </c>
      <c r="G162" s="16" t="s">
        <v>50</v>
      </c>
      <c r="H162" s="16" t="s">
        <v>50</v>
      </c>
      <c r="I162" s="16" t="s">
        <v>50</v>
      </c>
      <c r="J162" s="16" t="s">
        <v>50</v>
      </c>
      <c r="K162" s="27" t="s">
        <v>53</v>
      </c>
      <c r="L162" s="16" t="s">
        <v>50</v>
      </c>
      <c r="M162" s="16" t="s">
        <v>50</v>
      </c>
      <c r="N162" s="16" t="s">
        <v>50</v>
      </c>
      <c r="O162" s="18" t="s">
        <v>53</v>
      </c>
      <c r="P162" s="16" t="s">
        <v>50</v>
      </c>
      <c r="Q162" s="16" t="s">
        <v>50</v>
      </c>
      <c r="R162" s="16" t="s">
        <v>50</v>
      </c>
      <c r="S162" s="16" t="s">
        <v>50</v>
      </c>
      <c r="T162" s="27" t="s">
        <v>53</v>
      </c>
      <c r="U162" s="26" t="s">
        <v>63</v>
      </c>
      <c r="V162" s="26" t="s">
        <v>52</v>
      </c>
      <c r="W162" s="18" t="s">
        <v>53</v>
      </c>
      <c r="X162" s="16" t="s">
        <v>50</v>
      </c>
      <c r="Y162" s="16" t="s">
        <v>50</v>
      </c>
      <c r="Z162" s="18" t="s">
        <v>53</v>
      </c>
      <c r="AA162" s="16" t="s">
        <v>50</v>
      </c>
      <c r="AB162" s="18" t="s">
        <v>53</v>
      </c>
      <c r="AC162" s="18" t="s">
        <v>53</v>
      </c>
      <c r="AD162" s="18" t="s">
        <v>53</v>
      </c>
      <c r="AE162" s="18" t="s">
        <v>53</v>
      </c>
      <c r="AF162" s="16" t="s">
        <v>50</v>
      </c>
      <c r="AG162" s="16" t="s">
        <v>50</v>
      </c>
      <c r="AH162" s="18" t="s">
        <v>53</v>
      </c>
      <c r="AI162" s="18" t="s">
        <v>53</v>
      </c>
      <c r="AJ162" s="16" t="s">
        <v>50</v>
      </c>
      <c r="AK162" s="16" t="s">
        <v>50</v>
      </c>
      <c r="AL162" s="16" t="s">
        <v>51</v>
      </c>
      <c r="AM162" s="27" t="s">
        <v>53</v>
      </c>
      <c r="AN162" s="16" t="s">
        <v>50</v>
      </c>
      <c r="AO162" s="18" t="s">
        <v>53</v>
      </c>
      <c r="AP162" s="16" t="s">
        <v>50</v>
      </c>
      <c r="AQ162" s="16" t="s">
        <v>50</v>
      </c>
      <c r="AR162" s="5">
        <f t="shared" si="14"/>
        <v>15</v>
      </c>
      <c r="AS162" s="5">
        <f t="shared" si="15"/>
        <v>1</v>
      </c>
      <c r="AT162" s="5">
        <f t="shared" si="16"/>
        <v>24</v>
      </c>
      <c r="AU162">
        <f t="shared" si="17"/>
        <v>1</v>
      </c>
      <c r="AV162">
        <f t="shared" si="18"/>
        <v>1</v>
      </c>
      <c r="AW162">
        <f t="shared" si="20"/>
        <v>41</v>
      </c>
    </row>
    <row r="163" spans="1:49" ht="29" x14ac:dyDescent="0.35">
      <c r="A163" s="7" t="s">
        <v>214</v>
      </c>
      <c r="B163" s="18" t="s">
        <v>53</v>
      </c>
      <c r="C163" s="16" t="s">
        <v>50</v>
      </c>
      <c r="D163" s="18" t="s">
        <v>53</v>
      </c>
      <c r="E163" s="16" t="s">
        <v>50</v>
      </c>
      <c r="F163" s="17" t="s">
        <v>50</v>
      </c>
      <c r="G163" s="16" t="s">
        <v>50</v>
      </c>
      <c r="H163" s="16" t="s">
        <v>50</v>
      </c>
      <c r="I163" s="16" t="s">
        <v>50</v>
      </c>
      <c r="J163" s="16" t="s">
        <v>50</v>
      </c>
      <c r="K163" s="16" t="s">
        <v>50</v>
      </c>
      <c r="L163" s="16" t="s">
        <v>50</v>
      </c>
      <c r="M163" s="16" t="s">
        <v>50</v>
      </c>
      <c r="N163" s="16" t="s">
        <v>50</v>
      </c>
      <c r="O163" s="16" t="s">
        <v>50</v>
      </c>
      <c r="P163" s="16" t="s">
        <v>50</v>
      </c>
      <c r="Q163" s="26" t="s">
        <v>50</v>
      </c>
      <c r="R163" s="16" t="s">
        <v>50</v>
      </c>
      <c r="S163" s="16" t="s">
        <v>50</v>
      </c>
      <c r="T163" s="16" t="s">
        <v>50</v>
      </c>
      <c r="U163" s="16" t="s">
        <v>50</v>
      </c>
      <c r="V163" s="16" t="s">
        <v>50</v>
      </c>
      <c r="W163" s="16" t="s">
        <v>50</v>
      </c>
      <c r="X163" s="16" t="s">
        <v>50</v>
      </c>
      <c r="Y163" s="16" t="s">
        <v>50</v>
      </c>
      <c r="Z163" s="16" t="s">
        <v>50</v>
      </c>
      <c r="AA163" s="18" t="s">
        <v>53</v>
      </c>
      <c r="AB163" s="16" t="s">
        <v>50</v>
      </c>
      <c r="AC163" s="16" t="s">
        <v>50</v>
      </c>
      <c r="AD163" s="21" t="s">
        <v>50</v>
      </c>
      <c r="AE163" s="16" t="s">
        <v>51</v>
      </c>
      <c r="AF163" s="18" t="s">
        <v>53</v>
      </c>
      <c r="AG163" s="16" t="s">
        <v>50</v>
      </c>
      <c r="AH163" s="16" t="s">
        <v>50</v>
      </c>
      <c r="AI163" s="16" t="s">
        <v>50</v>
      </c>
      <c r="AJ163" s="16" t="s">
        <v>50</v>
      </c>
      <c r="AK163" s="16" t="s">
        <v>50</v>
      </c>
      <c r="AL163" s="16" t="s">
        <v>50</v>
      </c>
      <c r="AM163" s="16" t="s">
        <v>50</v>
      </c>
      <c r="AN163" s="18" t="s">
        <v>53</v>
      </c>
      <c r="AO163" s="16" t="s">
        <v>50</v>
      </c>
      <c r="AP163" s="16" t="s">
        <v>50</v>
      </c>
      <c r="AQ163" s="16" t="s">
        <v>50</v>
      </c>
      <c r="AR163" s="5">
        <f t="shared" si="14"/>
        <v>5</v>
      </c>
      <c r="AS163" s="5">
        <f t="shared" si="15"/>
        <v>1</v>
      </c>
      <c r="AT163" s="5">
        <f t="shared" si="16"/>
        <v>36</v>
      </c>
      <c r="AU163">
        <f t="shared" si="17"/>
        <v>0</v>
      </c>
      <c r="AV163">
        <f t="shared" si="18"/>
        <v>0</v>
      </c>
      <c r="AW163">
        <f t="shared" si="20"/>
        <v>42</v>
      </c>
    </row>
    <row r="164" spans="1:49" x14ac:dyDescent="0.35">
      <c r="A164" s="7" t="s">
        <v>215</v>
      </c>
      <c r="B164" s="16" t="s">
        <v>50</v>
      </c>
      <c r="C164" s="16" t="s">
        <v>50</v>
      </c>
      <c r="D164" s="16" t="s">
        <v>50</v>
      </c>
      <c r="E164" s="18" t="s">
        <v>53</v>
      </c>
      <c r="F164" s="36" t="s">
        <v>53</v>
      </c>
      <c r="G164" s="16" t="s">
        <v>50</v>
      </c>
      <c r="H164" s="16" t="s">
        <v>50</v>
      </c>
      <c r="I164" s="16" t="s">
        <v>50</v>
      </c>
      <c r="J164" s="16" t="s">
        <v>50</v>
      </c>
      <c r="K164" s="27" t="s">
        <v>53</v>
      </c>
      <c r="L164" s="16" t="s">
        <v>50</v>
      </c>
      <c r="M164" s="16" t="s">
        <v>50</v>
      </c>
      <c r="N164" s="16" t="s">
        <v>50</v>
      </c>
      <c r="O164" s="18" t="s">
        <v>53</v>
      </c>
      <c r="P164" s="16" t="s">
        <v>50</v>
      </c>
      <c r="Q164" s="16" t="s">
        <v>50</v>
      </c>
      <c r="R164" s="16" t="s">
        <v>50</v>
      </c>
      <c r="S164" s="16" t="s">
        <v>50</v>
      </c>
      <c r="T164" s="27" t="s">
        <v>53</v>
      </c>
      <c r="U164" s="16" t="s">
        <v>50</v>
      </c>
      <c r="V164" s="16" t="s">
        <v>50</v>
      </c>
      <c r="W164" s="18" t="s">
        <v>53</v>
      </c>
      <c r="X164" s="16" t="s">
        <v>50</v>
      </c>
      <c r="Y164" s="16" t="s">
        <v>50</v>
      </c>
      <c r="Z164" s="18" t="s">
        <v>53</v>
      </c>
      <c r="AA164" s="16" t="s">
        <v>50</v>
      </c>
      <c r="AB164" s="16" t="s">
        <v>50</v>
      </c>
      <c r="AC164" s="18" t="s">
        <v>53</v>
      </c>
      <c r="AD164" s="18" t="s">
        <v>53</v>
      </c>
      <c r="AE164" s="18" t="s">
        <v>53</v>
      </c>
      <c r="AF164" s="16" t="s">
        <v>50</v>
      </c>
      <c r="AG164" s="16" t="s">
        <v>50</v>
      </c>
      <c r="AH164" s="18" t="s">
        <v>53</v>
      </c>
      <c r="AI164" s="16" t="s">
        <v>50</v>
      </c>
      <c r="AJ164" s="16" t="s">
        <v>50</v>
      </c>
      <c r="AK164" s="16" t="s">
        <v>50</v>
      </c>
      <c r="AL164" s="16" t="s">
        <v>51</v>
      </c>
      <c r="AM164" s="16" t="s">
        <v>50</v>
      </c>
      <c r="AN164" s="16" t="s">
        <v>50</v>
      </c>
      <c r="AO164" s="16" t="s">
        <v>50</v>
      </c>
      <c r="AP164" s="16" t="s">
        <v>50</v>
      </c>
      <c r="AQ164" s="16" t="s">
        <v>50</v>
      </c>
      <c r="AR164" s="5">
        <f t="shared" si="14"/>
        <v>11</v>
      </c>
      <c r="AS164" s="5">
        <f t="shared" si="15"/>
        <v>1</v>
      </c>
      <c r="AT164" s="5">
        <f t="shared" si="16"/>
        <v>30</v>
      </c>
      <c r="AU164">
        <f t="shared" si="17"/>
        <v>0</v>
      </c>
      <c r="AV164">
        <f t="shared" si="18"/>
        <v>0</v>
      </c>
      <c r="AW164">
        <f t="shared" si="20"/>
        <v>42</v>
      </c>
    </row>
    <row r="165" spans="1:49" x14ac:dyDescent="0.35">
      <c r="A165" s="7" t="s">
        <v>216</v>
      </c>
      <c r="B165" s="16" t="s">
        <v>50</v>
      </c>
      <c r="C165" s="16" t="s">
        <v>50</v>
      </c>
      <c r="D165" s="16" t="s">
        <v>50</v>
      </c>
      <c r="E165" s="16" t="s">
        <v>50</v>
      </c>
      <c r="F165" s="16" t="s">
        <v>50</v>
      </c>
      <c r="G165" s="16" t="s">
        <v>50</v>
      </c>
      <c r="H165" s="16" t="s">
        <v>50</v>
      </c>
      <c r="I165" s="16" t="s">
        <v>50</v>
      </c>
      <c r="J165" s="16" t="s">
        <v>51</v>
      </c>
      <c r="K165" s="16" t="s">
        <v>50</v>
      </c>
      <c r="L165" s="16" t="s">
        <v>50</v>
      </c>
      <c r="M165" s="16" t="s">
        <v>50</v>
      </c>
      <c r="N165" s="16" t="s">
        <v>50</v>
      </c>
      <c r="O165" s="16" t="s">
        <v>50</v>
      </c>
      <c r="P165" s="16" t="s">
        <v>50</v>
      </c>
      <c r="Q165" s="16" t="s">
        <v>50</v>
      </c>
      <c r="R165" s="16" t="s">
        <v>50</v>
      </c>
      <c r="S165" s="16" t="s">
        <v>50</v>
      </c>
      <c r="T165" s="16" t="s">
        <v>50</v>
      </c>
      <c r="U165" s="16" t="s">
        <v>50</v>
      </c>
      <c r="V165" s="16" t="s">
        <v>50</v>
      </c>
      <c r="W165" s="16" t="s">
        <v>50</v>
      </c>
      <c r="X165" s="16" t="s">
        <v>50</v>
      </c>
      <c r="Y165" s="16" t="s">
        <v>50</v>
      </c>
      <c r="Z165" s="16" t="s">
        <v>50</v>
      </c>
      <c r="AA165" s="16" t="s">
        <v>50</v>
      </c>
      <c r="AB165" s="16" t="s">
        <v>50</v>
      </c>
      <c r="AC165" s="16" t="s">
        <v>50</v>
      </c>
      <c r="AD165" s="16" t="s">
        <v>50</v>
      </c>
      <c r="AE165" s="16" t="s">
        <v>50</v>
      </c>
      <c r="AF165" s="16" t="s">
        <v>50</v>
      </c>
      <c r="AG165" s="16" t="s">
        <v>50</v>
      </c>
      <c r="AH165" s="16" t="s">
        <v>50</v>
      </c>
      <c r="AI165" s="16" t="s">
        <v>50</v>
      </c>
      <c r="AJ165" s="16" t="s">
        <v>50</v>
      </c>
      <c r="AK165" s="16" t="s">
        <v>50</v>
      </c>
      <c r="AL165" s="16" t="s">
        <v>50</v>
      </c>
      <c r="AM165" s="16" t="s">
        <v>51</v>
      </c>
      <c r="AN165" s="16" t="s">
        <v>50</v>
      </c>
      <c r="AO165" s="16" t="s">
        <v>50</v>
      </c>
      <c r="AP165" s="16" t="s">
        <v>50</v>
      </c>
      <c r="AQ165" s="16" t="s">
        <v>50</v>
      </c>
      <c r="AR165" s="5">
        <f t="shared" si="14"/>
        <v>0</v>
      </c>
      <c r="AS165" s="5">
        <f t="shared" si="15"/>
        <v>2</v>
      </c>
      <c r="AT165" s="5">
        <f t="shared" si="16"/>
        <v>40</v>
      </c>
      <c r="AU165">
        <f t="shared" si="17"/>
        <v>0</v>
      </c>
      <c r="AV165">
        <f t="shared" si="18"/>
        <v>0</v>
      </c>
      <c r="AW165">
        <f t="shared" si="20"/>
        <v>42</v>
      </c>
    </row>
    <row r="166" spans="1:49" x14ac:dyDescent="0.35">
      <c r="A166" s="5" t="s">
        <v>48</v>
      </c>
      <c r="E166" s="5"/>
      <c r="F166" s="5"/>
      <c r="I166" s="5"/>
      <c r="J166" s="5"/>
      <c r="M166" s="5"/>
      <c r="O166" s="5"/>
      <c r="P166" s="5"/>
      <c r="R166" s="5"/>
      <c r="S166" s="5"/>
      <c r="T166" s="5"/>
      <c r="V166" s="5"/>
      <c r="X166" s="5"/>
      <c r="Z166" s="5"/>
      <c r="AB166" s="5"/>
      <c r="AC166" s="5"/>
      <c r="AD166" s="6"/>
      <c r="AE166" s="5"/>
      <c r="AF166" s="5"/>
      <c r="AG166" s="5"/>
      <c r="AI166" s="5"/>
      <c r="AJ166" s="5"/>
      <c r="AK166" s="5"/>
      <c r="AL166" s="5"/>
      <c r="AO166" s="5"/>
      <c r="AP166" s="5"/>
      <c r="AQ166" s="5"/>
      <c r="AR166" s="5"/>
      <c r="AS166" s="5"/>
      <c r="AT166" s="5"/>
      <c r="AW166">
        <f>SUBTOTAL(109,Table2[Total])</f>
        <v>6885</v>
      </c>
    </row>
    <row r="168" spans="1:49" x14ac:dyDescent="0.35">
      <c r="A168" t="s">
        <v>217</v>
      </c>
      <c r="B168" s="9">
        <f>COUNTIF(B$2:B$165, "ü")/164</f>
        <v>0.3048780487804878</v>
      </c>
      <c r="C168" s="9">
        <f t="shared" ref="C168:AQ168" si="21">COUNTIF(C$2:C$165, "ü")/164</f>
        <v>0.23780487804878048</v>
      </c>
      <c r="D168" s="9">
        <f t="shared" si="21"/>
        <v>0.29268292682926828</v>
      </c>
      <c r="E168" s="9">
        <f t="shared" si="21"/>
        <v>0.35365853658536583</v>
      </c>
      <c r="F168" s="9">
        <f t="shared" si="21"/>
        <v>0.29878048780487804</v>
      </c>
      <c r="G168" s="9">
        <f t="shared" si="21"/>
        <v>0.34146341463414637</v>
      </c>
      <c r="H168" s="9">
        <f t="shared" si="21"/>
        <v>0.29878048780487804</v>
      </c>
      <c r="I168" s="9">
        <f t="shared" si="21"/>
        <v>0.31097560975609756</v>
      </c>
      <c r="J168" s="9">
        <f t="shared" si="21"/>
        <v>0.28048780487804881</v>
      </c>
      <c r="K168" s="9">
        <f t="shared" si="21"/>
        <v>0.43902439024390244</v>
      </c>
      <c r="L168" s="9">
        <f t="shared" si="21"/>
        <v>0.21341463414634146</v>
      </c>
      <c r="M168" s="9">
        <f t="shared" si="21"/>
        <v>0.34146341463414637</v>
      </c>
      <c r="N168" s="9">
        <f t="shared" si="21"/>
        <v>0.29878048780487804</v>
      </c>
      <c r="O168" s="9">
        <f t="shared" si="21"/>
        <v>0.3597560975609756</v>
      </c>
      <c r="P168" s="9">
        <f t="shared" si="21"/>
        <v>0.24390243902439024</v>
      </c>
      <c r="Q168" s="9">
        <f t="shared" si="21"/>
        <v>0.28658536585365851</v>
      </c>
      <c r="R168" s="9">
        <f t="shared" si="21"/>
        <v>0.32926829268292684</v>
      </c>
      <c r="S168" s="9">
        <f t="shared" si="21"/>
        <v>0.29268292682926828</v>
      </c>
      <c r="T168" s="9">
        <f t="shared" si="21"/>
        <v>0.35365853658536583</v>
      </c>
      <c r="U168" s="9">
        <f t="shared" si="21"/>
        <v>0.34146341463414637</v>
      </c>
      <c r="V168" s="9">
        <f t="shared" si="21"/>
        <v>0.36585365853658536</v>
      </c>
      <c r="W168" s="9">
        <f t="shared" si="21"/>
        <v>0.43902439024390244</v>
      </c>
      <c r="X168" s="9">
        <f t="shared" si="21"/>
        <v>0.25609756097560976</v>
      </c>
      <c r="Y168" s="9">
        <f t="shared" si="21"/>
        <v>0.31707317073170732</v>
      </c>
      <c r="Z168" s="9">
        <f t="shared" si="21"/>
        <v>0.39634146341463417</v>
      </c>
      <c r="AA168" s="9">
        <f t="shared" si="21"/>
        <v>0.36585365853658536</v>
      </c>
      <c r="AB168" s="9">
        <f t="shared" si="21"/>
        <v>0.29878048780487804</v>
      </c>
      <c r="AC168" s="9">
        <f t="shared" si="21"/>
        <v>0.40243902439024393</v>
      </c>
      <c r="AD168" s="9">
        <f t="shared" si="21"/>
        <v>0.43292682926829268</v>
      </c>
      <c r="AE168" s="9">
        <f t="shared" si="21"/>
        <v>0.3597560975609756</v>
      </c>
      <c r="AF168" s="9">
        <f t="shared" si="21"/>
        <v>0.24390243902439024</v>
      </c>
      <c r="AG168" s="9">
        <f t="shared" si="21"/>
        <v>0.23780487804878048</v>
      </c>
      <c r="AH168" s="9">
        <f t="shared" si="21"/>
        <v>0.40243902439024393</v>
      </c>
      <c r="AI168" s="9">
        <f t="shared" si="21"/>
        <v>0.29878048780487804</v>
      </c>
      <c r="AJ168" s="9">
        <f t="shared" si="21"/>
        <v>0.26829268292682928</v>
      </c>
      <c r="AK168" s="9">
        <f t="shared" si="21"/>
        <v>0.1951219512195122</v>
      </c>
      <c r="AL168" s="9">
        <f t="shared" si="21"/>
        <v>0.25609756097560976</v>
      </c>
      <c r="AM168" s="9">
        <f t="shared" si="21"/>
        <v>0.36585365853658536</v>
      </c>
      <c r="AN168" s="9">
        <f t="shared" si="21"/>
        <v>0.3048780487804878</v>
      </c>
      <c r="AO168" s="9">
        <f t="shared" si="21"/>
        <v>0.31097560975609756</v>
      </c>
      <c r="AP168" s="9">
        <f t="shared" si="21"/>
        <v>0.24390243902439024</v>
      </c>
      <c r="AQ168" s="9">
        <f t="shared" si="21"/>
        <v>0.29268292682926828</v>
      </c>
      <c r="AR168" s="9"/>
      <c r="AS168" t="s">
        <v>218</v>
      </c>
      <c r="AU168" s="9">
        <f>AVERAGE(B168:AQ168)</f>
        <v>0.31605691056910568</v>
      </c>
    </row>
    <row r="169" spans="1:49" x14ac:dyDescent="0.35">
      <c r="A169" t="s">
        <v>219</v>
      </c>
      <c r="B169" s="9">
        <f>COUNTIF(B$2:B$165, "IFR")/164</f>
        <v>0.12804878048780488</v>
      </c>
      <c r="C169" s="9">
        <f t="shared" ref="C169:AQ169" si="22">COUNTIF(C$2:C$165, "IFR")/164</f>
        <v>0.15853658536585366</v>
      </c>
      <c r="D169" s="9">
        <f t="shared" si="22"/>
        <v>0.22560975609756098</v>
      </c>
      <c r="E169" s="9">
        <f t="shared" si="22"/>
        <v>0.15853658536585366</v>
      </c>
      <c r="F169" s="9">
        <f t="shared" si="22"/>
        <v>0.13414634146341464</v>
      </c>
      <c r="G169" s="9">
        <f t="shared" si="22"/>
        <v>0.13414634146341464</v>
      </c>
      <c r="H169" s="9">
        <f t="shared" si="22"/>
        <v>0.24390243902439024</v>
      </c>
      <c r="I169" s="9">
        <f t="shared" si="22"/>
        <v>0.18292682926829268</v>
      </c>
      <c r="J169" s="9">
        <f t="shared" si="22"/>
        <v>0.28658536585365851</v>
      </c>
      <c r="K169" s="9">
        <f t="shared" si="22"/>
        <v>0.21341463414634146</v>
      </c>
      <c r="L169" s="9">
        <f t="shared" si="22"/>
        <v>0.16463414634146342</v>
      </c>
      <c r="M169" s="9">
        <f t="shared" si="22"/>
        <v>0.14634146341463414</v>
      </c>
      <c r="N169" s="9">
        <f t="shared" si="22"/>
        <v>0.1524390243902439</v>
      </c>
      <c r="O169" s="9">
        <f t="shared" si="22"/>
        <v>0.12804878048780488</v>
      </c>
      <c r="P169" s="9">
        <f t="shared" si="22"/>
        <v>0.18292682926829268</v>
      </c>
      <c r="Q169" s="9">
        <f t="shared" si="22"/>
        <v>0.16463414634146342</v>
      </c>
      <c r="R169" s="9">
        <f t="shared" si="22"/>
        <v>0.12195121951219512</v>
      </c>
      <c r="S169" s="9">
        <f t="shared" si="22"/>
        <v>0.17073170731707318</v>
      </c>
      <c r="T169" s="9">
        <f t="shared" si="22"/>
        <v>0.20121951219512196</v>
      </c>
      <c r="U169" s="9">
        <f t="shared" si="22"/>
        <v>0.14634146341463414</v>
      </c>
      <c r="V169" s="9">
        <f t="shared" si="22"/>
        <v>8.5365853658536592E-2</v>
      </c>
      <c r="W169" s="9">
        <f t="shared" si="22"/>
        <v>0.12195121951219512</v>
      </c>
      <c r="X169" s="9">
        <f t="shared" si="22"/>
        <v>9.1463414634146339E-2</v>
      </c>
      <c r="Y169" s="9">
        <f t="shared" si="22"/>
        <v>9.7560975609756101E-2</v>
      </c>
      <c r="Z169" s="9">
        <f t="shared" si="22"/>
        <v>0.18902439024390244</v>
      </c>
      <c r="AA169" s="9">
        <f t="shared" si="22"/>
        <v>0.21341463414634146</v>
      </c>
      <c r="AB169" s="9">
        <f t="shared" si="22"/>
        <v>0.1524390243902439</v>
      </c>
      <c r="AC169" s="9">
        <f t="shared" si="22"/>
        <v>0.12195121951219512</v>
      </c>
      <c r="AD169" s="9">
        <f t="shared" si="22"/>
        <v>0.13414634146341464</v>
      </c>
      <c r="AE169" s="9">
        <f t="shared" si="22"/>
        <v>0.1402439024390244</v>
      </c>
      <c r="AF169" s="9">
        <f t="shared" si="22"/>
        <v>0.12804878048780488</v>
      </c>
      <c r="AG169" s="9">
        <f t="shared" si="22"/>
        <v>9.7560975609756101E-2</v>
      </c>
      <c r="AH169" s="9">
        <f t="shared" si="22"/>
        <v>0.15853658536585366</v>
      </c>
      <c r="AI169" s="9">
        <f t="shared" si="22"/>
        <v>0.18292682926829268</v>
      </c>
      <c r="AJ169" s="9">
        <f t="shared" si="22"/>
        <v>0.14634146341463414</v>
      </c>
      <c r="AK169" s="9">
        <f t="shared" si="22"/>
        <v>9.7560975609756101E-2</v>
      </c>
      <c r="AL169" s="9">
        <f t="shared" si="22"/>
        <v>0.17682926829268292</v>
      </c>
      <c r="AM169" s="9">
        <f t="shared" si="22"/>
        <v>0.17073170731707318</v>
      </c>
      <c r="AN169" s="9">
        <f t="shared" si="22"/>
        <v>0.10975609756097561</v>
      </c>
      <c r="AO169" s="9">
        <f t="shared" si="22"/>
        <v>0.1402439024390244</v>
      </c>
      <c r="AP169" s="9">
        <f t="shared" si="22"/>
        <v>0.15853658536585366</v>
      </c>
      <c r="AQ169" s="9">
        <f t="shared" si="22"/>
        <v>0.1402439024390244</v>
      </c>
      <c r="AR169" s="9"/>
      <c r="AS169" s="9" t="s">
        <v>220</v>
      </c>
      <c r="AU169" s="9">
        <f>AVERAGE(B169:AQ169)</f>
        <v>0.15476190476190479</v>
      </c>
    </row>
    <row r="170" spans="1:49" x14ac:dyDescent="0.35">
      <c r="A170" t="s">
        <v>221</v>
      </c>
      <c r="B170" s="9">
        <f>COUNTIF(B$2:B$165, "N/A")/164</f>
        <v>0.56707317073170727</v>
      </c>
      <c r="C170" s="9">
        <f t="shared" ref="C170:AQ170" si="23">COUNTIF(C$2:C$165, "N/A")/164</f>
        <v>0.60365853658536583</v>
      </c>
      <c r="D170" s="9">
        <f t="shared" si="23"/>
        <v>0.48170731707317072</v>
      </c>
      <c r="E170" s="9">
        <f t="shared" si="23"/>
        <v>0.48780487804878048</v>
      </c>
      <c r="F170" s="9">
        <f t="shared" si="23"/>
        <v>0.56707317073170727</v>
      </c>
      <c r="G170" s="9">
        <f t="shared" si="23"/>
        <v>0.52439024390243905</v>
      </c>
      <c r="H170" s="9">
        <f t="shared" si="23"/>
        <v>0.45731707317073172</v>
      </c>
      <c r="I170" s="9">
        <f t="shared" si="23"/>
        <v>0.50609756097560976</v>
      </c>
      <c r="J170" s="9">
        <f t="shared" si="23"/>
        <v>0.43292682926829268</v>
      </c>
      <c r="K170" s="9">
        <f t="shared" si="23"/>
        <v>0.34756097560975607</v>
      </c>
      <c r="L170" s="9">
        <f t="shared" si="23"/>
        <v>0.62195121951219512</v>
      </c>
      <c r="M170" s="9">
        <f t="shared" si="23"/>
        <v>0.51219512195121952</v>
      </c>
      <c r="N170" s="9">
        <f t="shared" si="23"/>
        <v>0.54878048780487809</v>
      </c>
      <c r="O170" s="9">
        <f t="shared" si="23"/>
        <v>0.51219512195121952</v>
      </c>
      <c r="P170" s="9">
        <f t="shared" si="23"/>
        <v>0.57317073170731703</v>
      </c>
      <c r="Q170" s="9">
        <f t="shared" si="23"/>
        <v>0.54878048780487809</v>
      </c>
      <c r="R170" s="9">
        <f t="shared" si="23"/>
        <v>0.54878048780487809</v>
      </c>
      <c r="S170" s="9">
        <f t="shared" si="23"/>
        <v>0.53658536585365857</v>
      </c>
      <c r="T170" s="9">
        <f t="shared" si="23"/>
        <v>0.4451219512195122</v>
      </c>
      <c r="U170" s="9">
        <f t="shared" si="23"/>
        <v>0.42073170731707316</v>
      </c>
      <c r="V170" s="9">
        <f t="shared" si="23"/>
        <v>0.52439024390243905</v>
      </c>
      <c r="W170" s="9">
        <f t="shared" si="23"/>
        <v>0.43902439024390244</v>
      </c>
      <c r="X170" s="9">
        <f t="shared" si="23"/>
        <v>0.65243902439024393</v>
      </c>
      <c r="Y170" s="9">
        <f t="shared" si="23"/>
        <v>0.57926829268292679</v>
      </c>
      <c r="Z170" s="9">
        <f t="shared" si="23"/>
        <v>0.41463414634146339</v>
      </c>
      <c r="AA170" s="9">
        <f t="shared" si="23"/>
        <v>0.42073170731707316</v>
      </c>
      <c r="AB170" s="9">
        <f t="shared" si="23"/>
        <v>0.54878048780487809</v>
      </c>
      <c r="AC170" s="9">
        <f t="shared" si="23"/>
        <v>0.47560975609756095</v>
      </c>
      <c r="AD170" s="9">
        <f t="shared" si="23"/>
        <v>0.43292682926829268</v>
      </c>
      <c r="AE170" s="9">
        <f t="shared" si="23"/>
        <v>0.49390243902439024</v>
      </c>
      <c r="AF170" s="9">
        <f t="shared" si="23"/>
        <v>0.62804878048780488</v>
      </c>
      <c r="AG170" s="9">
        <f t="shared" si="23"/>
        <v>0.66463414634146345</v>
      </c>
      <c r="AH170" s="9">
        <f t="shared" si="23"/>
        <v>0.43292682926829268</v>
      </c>
      <c r="AI170" s="9">
        <f t="shared" si="23"/>
        <v>0.51829268292682928</v>
      </c>
      <c r="AJ170" s="9">
        <f t="shared" si="23"/>
        <v>0.58536585365853655</v>
      </c>
      <c r="AK170" s="9">
        <f t="shared" si="23"/>
        <v>0.70731707317073167</v>
      </c>
      <c r="AL170" s="9">
        <f t="shared" si="23"/>
        <v>0.56707317073170727</v>
      </c>
      <c r="AM170" s="9">
        <f t="shared" si="23"/>
        <v>0.46341463414634149</v>
      </c>
      <c r="AN170" s="9">
        <f t="shared" si="23"/>
        <v>0.58536585365853655</v>
      </c>
      <c r="AO170" s="9">
        <f t="shared" si="23"/>
        <v>0.54878048780487809</v>
      </c>
      <c r="AP170" s="9">
        <f t="shared" si="23"/>
        <v>0.59756097560975607</v>
      </c>
      <c r="AQ170" s="9">
        <f t="shared" si="23"/>
        <v>0.56707317073170727</v>
      </c>
      <c r="AR170" s="9"/>
      <c r="AS170" s="9" t="s">
        <v>222</v>
      </c>
      <c r="AU170" s="9">
        <f>AVERAGE(B170:AQ170)</f>
        <v>0.52598722415795607</v>
      </c>
    </row>
    <row r="171" spans="1:49" x14ac:dyDescent="0.35">
      <c r="A171" t="s">
        <v>223</v>
      </c>
      <c r="B171" s="9">
        <f>COUNTIF(B$2:B$165, "Policy under review")/164</f>
        <v>0</v>
      </c>
      <c r="C171" s="9">
        <f t="shared" ref="C171:AQ171" si="24">COUNTIF(C$2:C$165, "Policy under review")/164</f>
        <v>0</v>
      </c>
      <c r="D171" s="9">
        <f t="shared" si="24"/>
        <v>0</v>
      </c>
      <c r="E171" s="9">
        <f t="shared" si="24"/>
        <v>0</v>
      </c>
      <c r="F171" s="9">
        <f t="shared" si="24"/>
        <v>0</v>
      </c>
      <c r="G171" s="9">
        <f t="shared" si="24"/>
        <v>0</v>
      </c>
      <c r="H171" s="9">
        <f t="shared" si="24"/>
        <v>0</v>
      </c>
      <c r="I171" s="9">
        <f t="shared" si="24"/>
        <v>0</v>
      </c>
      <c r="J171" s="9">
        <f t="shared" si="24"/>
        <v>0</v>
      </c>
      <c r="K171" s="9">
        <f t="shared" si="24"/>
        <v>0</v>
      </c>
      <c r="L171" s="9">
        <f t="shared" si="24"/>
        <v>0</v>
      </c>
      <c r="M171" s="9">
        <f t="shared" si="24"/>
        <v>0</v>
      </c>
      <c r="N171" s="9">
        <f t="shared" si="24"/>
        <v>0</v>
      </c>
      <c r="O171" s="9">
        <f t="shared" si="24"/>
        <v>0</v>
      </c>
      <c r="P171" s="9">
        <f t="shared" si="24"/>
        <v>0</v>
      </c>
      <c r="Q171" s="9">
        <f t="shared" si="24"/>
        <v>0</v>
      </c>
      <c r="R171" s="9">
        <f t="shared" si="24"/>
        <v>0</v>
      </c>
      <c r="S171" s="9">
        <f t="shared" si="24"/>
        <v>0</v>
      </c>
      <c r="T171" s="9">
        <f t="shared" si="24"/>
        <v>0</v>
      </c>
      <c r="U171" s="9">
        <f t="shared" si="24"/>
        <v>0</v>
      </c>
      <c r="V171" s="9">
        <f t="shared" si="24"/>
        <v>2.4390243902439025E-2</v>
      </c>
      <c r="W171" s="9">
        <f t="shared" si="24"/>
        <v>0</v>
      </c>
      <c r="X171" s="9">
        <f t="shared" si="24"/>
        <v>0</v>
      </c>
      <c r="Y171" s="9">
        <f t="shared" si="24"/>
        <v>0</v>
      </c>
      <c r="Z171" s="9">
        <f t="shared" si="24"/>
        <v>0</v>
      </c>
      <c r="AA171" s="9">
        <f t="shared" si="24"/>
        <v>0</v>
      </c>
      <c r="AB171" s="9">
        <f t="shared" si="24"/>
        <v>0</v>
      </c>
      <c r="AC171" s="9">
        <f t="shared" si="24"/>
        <v>0</v>
      </c>
      <c r="AD171" s="9">
        <f t="shared" si="24"/>
        <v>0</v>
      </c>
      <c r="AE171" s="9">
        <f t="shared" si="24"/>
        <v>6.0975609756097563E-3</v>
      </c>
      <c r="AF171" s="9">
        <f t="shared" si="24"/>
        <v>0</v>
      </c>
      <c r="AG171" s="9">
        <f t="shared" si="24"/>
        <v>0</v>
      </c>
      <c r="AH171" s="9">
        <f t="shared" si="24"/>
        <v>0</v>
      </c>
      <c r="AI171" s="9">
        <f t="shared" si="24"/>
        <v>0</v>
      </c>
      <c r="AJ171" s="9">
        <f t="shared" si="24"/>
        <v>0</v>
      </c>
      <c r="AK171" s="9">
        <f t="shared" si="24"/>
        <v>0</v>
      </c>
      <c r="AL171" s="9">
        <f t="shared" si="24"/>
        <v>0</v>
      </c>
      <c r="AM171" s="9">
        <f t="shared" si="24"/>
        <v>0</v>
      </c>
      <c r="AN171" s="9">
        <f t="shared" si="24"/>
        <v>0</v>
      </c>
      <c r="AO171" s="9">
        <f t="shared" si="24"/>
        <v>0</v>
      </c>
      <c r="AP171" s="9">
        <f t="shared" si="24"/>
        <v>0</v>
      </c>
      <c r="AQ171" s="9">
        <f t="shared" si="24"/>
        <v>0</v>
      </c>
      <c r="AR171" s="9"/>
      <c r="AS171" s="9" t="s">
        <v>224</v>
      </c>
      <c r="AU171" s="9">
        <f>AVERAGE(B171:AQ171)</f>
        <v>7.2590011614401858E-4</v>
      </c>
    </row>
    <row r="172" spans="1:49" x14ac:dyDescent="0.35">
      <c r="A172" t="s">
        <v>225</v>
      </c>
      <c r="B172" s="10">
        <f>COUNTIF(B$2:B$165, "National EBI Guidance")/164</f>
        <v>0</v>
      </c>
      <c r="C172" s="10">
        <f t="shared" ref="C172:AQ172" si="25">COUNTIF(C$2:C$165, "National EBI Guidance")/164</f>
        <v>0</v>
      </c>
      <c r="D172" s="10">
        <f t="shared" si="25"/>
        <v>0</v>
      </c>
      <c r="E172" s="10">
        <f t="shared" si="25"/>
        <v>0</v>
      </c>
      <c r="F172" s="10">
        <f t="shared" si="25"/>
        <v>0</v>
      </c>
      <c r="G172" s="10">
        <f t="shared" si="25"/>
        <v>0</v>
      </c>
      <c r="H172" s="10">
        <f t="shared" si="25"/>
        <v>0</v>
      </c>
      <c r="I172" s="10">
        <f t="shared" si="25"/>
        <v>0</v>
      </c>
      <c r="J172" s="10">
        <f t="shared" si="25"/>
        <v>0</v>
      </c>
      <c r="K172" s="10">
        <f t="shared" si="25"/>
        <v>0</v>
      </c>
      <c r="L172" s="10">
        <f t="shared" si="25"/>
        <v>0</v>
      </c>
      <c r="M172" s="10">
        <f t="shared" si="25"/>
        <v>0</v>
      </c>
      <c r="N172" s="10">
        <f t="shared" si="25"/>
        <v>0</v>
      </c>
      <c r="O172" s="10">
        <f t="shared" si="25"/>
        <v>0</v>
      </c>
      <c r="P172" s="10">
        <f t="shared" si="25"/>
        <v>0</v>
      </c>
      <c r="Q172" s="10">
        <f t="shared" si="25"/>
        <v>0</v>
      </c>
      <c r="R172" s="10">
        <f t="shared" si="25"/>
        <v>0</v>
      </c>
      <c r="S172" s="10">
        <f t="shared" si="25"/>
        <v>0</v>
      </c>
      <c r="T172" s="10">
        <f t="shared" si="25"/>
        <v>0</v>
      </c>
      <c r="U172" s="10">
        <f t="shared" si="25"/>
        <v>9.1463414634146339E-2</v>
      </c>
      <c r="V172" s="10">
        <f t="shared" si="25"/>
        <v>0</v>
      </c>
      <c r="W172" s="10">
        <f t="shared" si="25"/>
        <v>0</v>
      </c>
      <c r="X172" s="10">
        <f t="shared" si="25"/>
        <v>0</v>
      </c>
      <c r="Y172" s="10">
        <f t="shared" si="25"/>
        <v>6.0975609756097563E-3</v>
      </c>
      <c r="Z172" s="10">
        <f t="shared" si="25"/>
        <v>0</v>
      </c>
      <c r="AA172" s="10">
        <f t="shared" si="25"/>
        <v>0</v>
      </c>
      <c r="AB172" s="10">
        <f t="shared" si="25"/>
        <v>0</v>
      </c>
      <c r="AC172" s="10">
        <f t="shared" si="25"/>
        <v>0</v>
      </c>
      <c r="AD172" s="10">
        <f t="shared" si="25"/>
        <v>0</v>
      </c>
      <c r="AE172" s="10">
        <f t="shared" si="25"/>
        <v>0</v>
      </c>
      <c r="AF172" s="10">
        <f t="shared" si="25"/>
        <v>0</v>
      </c>
      <c r="AG172" s="10">
        <f t="shared" si="25"/>
        <v>0</v>
      </c>
      <c r="AH172" s="10">
        <f t="shared" si="25"/>
        <v>6.0975609756097563E-3</v>
      </c>
      <c r="AI172" s="10">
        <f t="shared" si="25"/>
        <v>0</v>
      </c>
      <c r="AJ172" s="10">
        <f t="shared" si="25"/>
        <v>0</v>
      </c>
      <c r="AK172" s="10">
        <f t="shared" si="25"/>
        <v>0</v>
      </c>
      <c r="AL172" s="10">
        <f t="shared" si="25"/>
        <v>0</v>
      </c>
      <c r="AM172" s="10">
        <f t="shared" si="25"/>
        <v>0</v>
      </c>
      <c r="AN172" s="10">
        <f t="shared" si="25"/>
        <v>0</v>
      </c>
      <c r="AO172" s="10">
        <f t="shared" si="25"/>
        <v>0</v>
      </c>
      <c r="AP172" s="10">
        <f t="shared" si="25"/>
        <v>0</v>
      </c>
      <c r="AQ172" s="10">
        <f t="shared" si="25"/>
        <v>0</v>
      </c>
      <c r="AS172" s="9" t="s">
        <v>226</v>
      </c>
      <c r="AU172" s="9">
        <f>AVERAGE(B172:AQ172)</f>
        <v>2.4680603948896633E-3</v>
      </c>
    </row>
    <row r="175" spans="1:49" x14ac:dyDescent="0.35">
      <c r="B175" s="11"/>
    </row>
    <row r="176" spans="1:49" x14ac:dyDescent="0.35">
      <c r="A176" t="s">
        <v>227</v>
      </c>
      <c r="B176">
        <v>8</v>
      </c>
      <c r="C176">
        <v>15</v>
      </c>
      <c r="D176">
        <v>10</v>
      </c>
      <c r="E176">
        <v>12</v>
      </c>
      <c r="F176">
        <v>31</v>
      </c>
      <c r="G176">
        <v>16</v>
      </c>
      <c r="H176">
        <v>8</v>
      </c>
      <c r="I176">
        <v>14</v>
      </c>
      <c r="J176">
        <v>23</v>
      </c>
      <c r="K176">
        <v>29</v>
      </c>
      <c r="L176">
        <v>10</v>
      </c>
      <c r="M176">
        <v>15</v>
      </c>
      <c r="N176">
        <v>8</v>
      </c>
      <c r="O176">
        <v>8</v>
      </c>
      <c r="P176">
        <v>6</v>
      </c>
      <c r="Q176">
        <v>21</v>
      </c>
      <c r="R176">
        <v>12</v>
      </c>
      <c r="S176">
        <v>6</v>
      </c>
      <c r="T176">
        <v>43</v>
      </c>
      <c r="U176">
        <v>29</v>
      </c>
      <c r="V176">
        <v>27</v>
      </c>
      <c r="W176">
        <v>12</v>
      </c>
      <c r="X176">
        <v>12</v>
      </c>
      <c r="Y176">
        <v>8</v>
      </c>
      <c r="Z176">
        <v>25</v>
      </c>
      <c r="AA176">
        <v>18</v>
      </c>
      <c r="AB176">
        <v>12</v>
      </c>
      <c r="AC176">
        <v>11</v>
      </c>
      <c r="AD176" s="12">
        <v>3</v>
      </c>
      <c r="AE176">
        <v>6</v>
      </c>
      <c r="AF176">
        <v>8</v>
      </c>
      <c r="AG176">
        <v>7</v>
      </c>
      <c r="AH176">
        <v>14</v>
      </c>
      <c r="AI176">
        <v>12</v>
      </c>
      <c r="AJ176">
        <v>5</v>
      </c>
      <c r="AK176">
        <v>7</v>
      </c>
      <c r="AL176">
        <v>16</v>
      </c>
      <c r="AM176">
        <v>15</v>
      </c>
      <c r="AN176">
        <v>9</v>
      </c>
      <c r="AO176">
        <v>6</v>
      </c>
      <c r="AP176">
        <v>8</v>
      </c>
      <c r="AQ176">
        <v>12</v>
      </c>
    </row>
    <row r="177" spans="1:49" x14ac:dyDescent="0.35">
      <c r="A177" t="s">
        <v>228</v>
      </c>
      <c r="B177">
        <v>164</v>
      </c>
      <c r="C177">
        <v>164</v>
      </c>
      <c r="D177">
        <v>164</v>
      </c>
      <c r="E177">
        <v>164</v>
      </c>
      <c r="F177">
        <v>164</v>
      </c>
      <c r="G177">
        <v>164</v>
      </c>
      <c r="H177">
        <v>164</v>
      </c>
      <c r="I177">
        <v>164</v>
      </c>
      <c r="J177">
        <v>164</v>
      </c>
      <c r="K177">
        <v>164</v>
      </c>
      <c r="L177">
        <v>164</v>
      </c>
      <c r="M177">
        <v>164</v>
      </c>
      <c r="N177">
        <v>164</v>
      </c>
      <c r="O177">
        <v>164</v>
      </c>
      <c r="P177">
        <v>164</v>
      </c>
      <c r="Q177">
        <v>164</v>
      </c>
      <c r="R177">
        <v>164</v>
      </c>
      <c r="S177">
        <v>164</v>
      </c>
      <c r="T177">
        <v>164</v>
      </c>
      <c r="U177">
        <v>164</v>
      </c>
      <c r="V177">
        <v>164</v>
      </c>
      <c r="W177">
        <v>164</v>
      </c>
      <c r="X177">
        <v>164</v>
      </c>
      <c r="Y177">
        <v>164</v>
      </c>
      <c r="Z177">
        <v>164</v>
      </c>
      <c r="AA177">
        <v>164</v>
      </c>
      <c r="AB177">
        <v>164</v>
      </c>
      <c r="AC177">
        <v>164</v>
      </c>
      <c r="AD177">
        <v>164</v>
      </c>
      <c r="AE177">
        <v>164</v>
      </c>
      <c r="AF177">
        <v>164</v>
      </c>
      <c r="AG177">
        <v>164</v>
      </c>
      <c r="AH177">
        <v>164</v>
      </c>
      <c r="AI177">
        <v>164</v>
      </c>
      <c r="AJ177">
        <v>164</v>
      </c>
      <c r="AK177">
        <v>164</v>
      </c>
      <c r="AL177">
        <v>164</v>
      </c>
      <c r="AM177">
        <v>164</v>
      </c>
      <c r="AN177">
        <v>164</v>
      </c>
      <c r="AO177">
        <v>164</v>
      </c>
      <c r="AP177">
        <v>164</v>
      </c>
      <c r="AQ177">
        <v>164</v>
      </c>
    </row>
    <row r="178" spans="1:49" x14ac:dyDescent="0.35">
      <c r="A178" s="13" t="s">
        <v>229</v>
      </c>
      <c r="B178" s="13">
        <f>B176/164</f>
        <v>4.878048780487805E-2</v>
      </c>
      <c r="C178" s="13">
        <f>C176/164</f>
        <v>9.1463414634146339E-2</v>
      </c>
      <c r="D178" s="13">
        <f t="shared" ref="D178:AQ178" si="26">D176/164</f>
        <v>6.097560975609756E-2</v>
      </c>
      <c r="E178" s="13">
        <f t="shared" si="26"/>
        <v>7.3170731707317069E-2</v>
      </c>
      <c r="F178" s="13">
        <f t="shared" si="26"/>
        <v>0.18902439024390244</v>
      </c>
      <c r="G178" s="13">
        <f t="shared" si="26"/>
        <v>9.7560975609756101E-2</v>
      </c>
      <c r="H178" s="13">
        <f t="shared" si="26"/>
        <v>4.878048780487805E-2</v>
      </c>
      <c r="I178" s="13">
        <f t="shared" si="26"/>
        <v>8.5365853658536592E-2</v>
      </c>
      <c r="J178" s="13">
        <f t="shared" si="26"/>
        <v>0.1402439024390244</v>
      </c>
      <c r="K178" s="13">
        <f t="shared" si="26"/>
        <v>0.17682926829268292</v>
      </c>
      <c r="L178" s="13">
        <f t="shared" si="26"/>
        <v>6.097560975609756E-2</v>
      </c>
      <c r="M178" s="13">
        <f t="shared" si="26"/>
        <v>9.1463414634146339E-2</v>
      </c>
      <c r="N178" s="13">
        <f t="shared" si="26"/>
        <v>4.878048780487805E-2</v>
      </c>
      <c r="O178" s="13">
        <f t="shared" si="26"/>
        <v>4.878048780487805E-2</v>
      </c>
      <c r="P178" s="13">
        <f t="shared" si="26"/>
        <v>3.6585365853658534E-2</v>
      </c>
      <c r="Q178" s="13">
        <f t="shared" si="26"/>
        <v>0.12804878048780488</v>
      </c>
      <c r="R178" s="13">
        <f t="shared" si="26"/>
        <v>7.3170731707317069E-2</v>
      </c>
      <c r="S178" s="13">
        <f t="shared" si="26"/>
        <v>3.6585365853658534E-2</v>
      </c>
      <c r="T178" s="13">
        <f t="shared" si="26"/>
        <v>0.26219512195121952</v>
      </c>
      <c r="U178" s="13">
        <f t="shared" si="26"/>
        <v>0.17682926829268292</v>
      </c>
      <c r="V178" s="13">
        <f t="shared" si="26"/>
        <v>0.16463414634146342</v>
      </c>
      <c r="W178" s="13">
        <f t="shared" si="26"/>
        <v>7.3170731707317069E-2</v>
      </c>
      <c r="X178" s="13">
        <f t="shared" si="26"/>
        <v>7.3170731707317069E-2</v>
      </c>
      <c r="Y178" s="13">
        <f t="shared" si="26"/>
        <v>4.878048780487805E-2</v>
      </c>
      <c r="Z178" s="13">
        <f t="shared" si="26"/>
        <v>0.1524390243902439</v>
      </c>
      <c r="AA178" s="13">
        <f t="shared" si="26"/>
        <v>0.10975609756097561</v>
      </c>
      <c r="AB178" s="13">
        <f t="shared" si="26"/>
        <v>7.3170731707317069E-2</v>
      </c>
      <c r="AC178" s="13">
        <f t="shared" si="26"/>
        <v>6.7073170731707321E-2</v>
      </c>
      <c r="AD178" s="13">
        <f t="shared" si="26"/>
        <v>1.8292682926829267E-2</v>
      </c>
      <c r="AE178" s="13">
        <f t="shared" si="26"/>
        <v>3.6585365853658534E-2</v>
      </c>
      <c r="AF178" s="13">
        <f t="shared" si="26"/>
        <v>4.878048780487805E-2</v>
      </c>
      <c r="AG178" s="13">
        <f t="shared" si="26"/>
        <v>4.2682926829268296E-2</v>
      </c>
      <c r="AH178" s="13">
        <f t="shared" si="26"/>
        <v>8.5365853658536592E-2</v>
      </c>
      <c r="AI178" s="13">
        <f t="shared" si="26"/>
        <v>7.3170731707317069E-2</v>
      </c>
      <c r="AJ178" s="13">
        <f t="shared" si="26"/>
        <v>3.048780487804878E-2</v>
      </c>
      <c r="AK178" s="13">
        <f t="shared" si="26"/>
        <v>4.2682926829268296E-2</v>
      </c>
      <c r="AL178" s="13">
        <f t="shared" si="26"/>
        <v>9.7560975609756101E-2</v>
      </c>
      <c r="AM178" s="13">
        <f t="shared" si="26"/>
        <v>9.1463414634146339E-2</v>
      </c>
      <c r="AN178" s="13">
        <f t="shared" si="26"/>
        <v>5.4878048780487805E-2</v>
      </c>
      <c r="AO178" s="13">
        <f t="shared" si="26"/>
        <v>3.6585365853658534E-2</v>
      </c>
      <c r="AP178" s="13">
        <f t="shared" si="26"/>
        <v>4.878048780487805E-2</v>
      </c>
      <c r="AQ178" s="13">
        <f t="shared" si="26"/>
        <v>7.3170731707317069E-2</v>
      </c>
      <c r="AR178" s="13"/>
      <c r="AS178" s="13"/>
      <c r="AT178" s="13"/>
      <c r="AU178" s="13"/>
      <c r="AV178" s="13"/>
      <c r="AW178" s="13"/>
    </row>
    <row r="181" spans="1:49" x14ac:dyDescent="0.35">
      <c r="A181" t="s">
        <v>230</v>
      </c>
      <c r="B181" s="14">
        <f>AVERAGE(B178:AQ178)</f>
        <v>8.3768873403019736E-2</v>
      </c>
    </row>
    <row r="184" spans="1:49" x14ac:dyDescent="0.35">
      <c r="A184" t="s">
        <v>283</v>
      </c>
      <c r="B184" t="s">
        <v>50</v>
      </c>
    </row>
    <row r="186" spans="1:49" x14ac:dyDescent="0.35">
      <c r="C186" s="20" t="s">
        <v>284</v>
      </c>
    </row>
    <row r="187" spans="1:49" x14ac:dyDescent="0.35">
      <c r="A187" t="s">
        <v>285</v>
      </c>
    </row>
    <row r="189" spans="1:49" x14ac:dyDescent="0.35">
      <c r="A189" t="s">
        <v>286</v>
      </c>
    </row>
    <row r="190" spans="1:49" x14ac:dyDescent="0.35">
      <c r="A190" t="s">
        <v>287</v>
      </c>
    </row>
    <row r="191" spans="1:49" x14ac:dyDescent="0.35">
      <c r="A191" t="s">
        <v>288</v>
      </c>
    </row>
    <row r="192" spans="1:49" x14ac:dyDescent="0.35">
      <c r="A192" t="s">
        <v>289</v>
      </c>
    </row>
    <row r="193" spans="1:1" x14ac:dyDescent="0.35">
      <c r="A193" t="s">
        <v>290</v>
      </c>
    </row>
    <row r="196" spans="1:1" x14ac:dyDescent="0.35">
      <c r="A196" t="s">
        <v>291</v>
      </c>
    </row>
    <row r="198" spans="1:1" x14ac:dyDescent="0.35">
      <c r="A198" t="s">
        <v>294</v>
      </c>
    </row>
    <row r="200" spans="1:1" x14ac:dyDescent="0.35">
      <c r="A200" t="s">
        <v>295</v>
      </c>
    </row>
    <row r="202" spans="1:1" x14ac:dyDescent="0.35">
      <c r="A202" t="s">
        <v>296</v>
      </c>
    </row>
    <row r="204" spans="1:1" x14ac:dyDescent="0.35">
      <c r="A204" t="s">
        <v>297</v>
      </c>
    </row>
    <row r="207" spans="1:1" x14ac:dyDescent="0.35">
      <c r="A207" t="s">
        <v>298</v>
      </c>
    </row>
    <row r="208" spans="1:1" x14ac:dyDescent="0.35">
      <c r="A208" t="s">
        <v>299</v>
      </c>
    </row>
    <row r="209" spans="1:1" x14ac:dyDescent="0.35">
      <c r="A209" t="s">
        <v>300</v>
      </c>
    </row>
    <row r="211" spans="1:1" x14ac:dyDescent="0.35">
      <c r="A211" t="s">
        <v>301</v>
      </c>
    </row>
    <row r="214" spans="1:1" x14ac:dyDescent="0.35">
      <c r="A214" t="s">
        <v>303</v>
      </c>
    </row>
    <row r="215" spans="1:1" x14ac:dyDescent="0.35">
      <c r="A215" t="s">
        <v>304</v>
      </c>
    </row>
    <row r="217" spans="1:1" x14ac:dyDescent="0.35">
      <c r="A217" t="s">
        <v>305</v>
      </c>
    </row>
  </sheetData>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CC2E9-9AF5-4F04-950A-CA2497CCA055}">
  <dimension ref="C1:J165"/>
  <sheetViews>
    <sheetView tabSelected="1" workbookViewId="0">
      <selection activeCell="L4" sqref="L4"/>
    </sheetView>
  </sheetViews>
  <sheetFormatPr defaultRowHeight="14.5" x14ac:dyDescent="0.35"/>
  <sheetData>
    <row r="1" spans="3:10" ht="58" x14ac:dyDescent="0.35">
      <c r="C1" s="54" t="s">
        <v>0</v>
      </c>
      <c r="D1" s="56" t="s">
        <v>310</v>
      </c>
      <c r="E1" s="56" t="s">
        <v>311</v>
      </c>
      <c r="F1" s="56" t="s">
        <v>312</v>
      </c>
      <c r="G1" s="45" t="s">
        <v>313</v>
      </c>
      <c r="H1" s="58" t="s">
        <v>315</v>
      </c>
      <c r="I1" s="60" t="s">
        <v>316</v>
      </c>
      <c r="J1" s="60" t="s">
        <v>317</v>
      </c>
    </row>
    <row r="2" spans="3:10" ht="15" thickBot="1" x14ac:dyDescent="0.4">
      <c r="C2" s="55"/>
      <c r="D2" s="57"/>
      <c r="E2" s="57"/>
      <c r="F2" s="57"/>
      <c r="G2" s="46" t="s">
        <v>314</v>
      </c>
      <c r="H2" s="59"/>
      <c r="I2" s="61"/>
      <c r="J2" s="61"/>
    </row>
    <row r="3" spans="3:10" ht="44" thickBot="1" x14ac:dyDescent="0.4">
      <c r="C3" s="47" t="s">
        <v>49</v>
      </c>
      <c r="D3" s="48">
        <v>2</v>
      </c>
      <c r="E3" s="48">
        <v>6</v>
      </c>
      <c r="F3" s="48">
        <v>34</v>
      </c>
      <c r="G3" s="49">
        <v>19</v>
      </c>
      <c r="H3" s="48" t="s">
        <v>318</v>
      </c>
      <c r="I3" s="50">
        <v>54.1</v>
      </c>
      <c r="J3" s="49" t="s">
        <v>318</v>
      </c>
    </row>
    <row r="4" spans="3:10" ht="15" thickBot="1" x14ac:dyDescent="0.4">
      <c r="C4" s="47" t="s">
        <v>54</v>
      </c>
      <c r="D4" s="48">
        <v>32</v>
      </c>
      <c r="E4" s="48">
        <v>0</v>
      </c>
      <c r="F4" s="48">
        <v>8</v>
      </c>
      <c r="G4" s="49">
        <v>76.2</v>
      </c>
      <c r="H4" s="48">
        <v>0</v>
      </c>
      <c r="I4" s="50">
        <v>45.5</v>
      </c>
      <c r="J4" s="49">
        <v>0</v>
      </c>
    </row>
    <row r="5" spans="3:10" ht="44" thickBot="1" x14ac:dyDescent="0.4">
      <c r="C5" s="47" t="s">
        <v>55</v>
      </c>
      <c r="D5" s="48">
        <v>1</v>
      </c>
      <c r="E5" s="48">
        <v>0</v>
      </c>
      <c r="F5" s="48">
        <v>41</v>
      </c>
      <c r="G5" s="49">
        <v>2.4</v>
      </c>
      <c r="H5" s="48" t="s">
        <v>318</v>
      </c>
      <c r="I5" s="50">
        <v>10.199999999999999</v>
      </c>
      <c r="J5" s="49" t="s">
        <v>318</v>
      </c>
    </row>
    <row r="6" spans="3:10" ht="44" thickBot="1" x14ac:dyDescent="0.4">
      <c r="C6" s="47" t="s">
        <v>56</v>
      </c>
      <c r="D6" s="48">
        <v>2</v>
      </c>
      <c r="E6" s="48">
        <v>1</v>
      </c>
      <c r="F6" s="48">
        <v>39</v>
      </c>
      <c r="G6" s="49">
        <v>7.1</v>
      </c>
      <c r="H6" s="48" t="s">
        <v>318</v>
      </c>
      <c r="I6" s="50">
        <v>27.6</v>
      </c>
      <c r="J6" s="49" t="s">
        <v>318</v>
      </c>
    </row>
    <row r="7" spans="3:10" ht="15" thickBot="1" x14ac:dyDescent="0.4">
      <c r="C7" s="47" t="s">
        <v>57</v>
      </c>
      <c r="D7" s="48">
        <v>21</v>
      </c>
      <c r="E7" s="48">
        <v>7</v>
      </c>
      <c r="F7" s="48">
        <v>14</v>
      </c>
      <c r="G7" s="49">
        <v>66.7</v>
      </c>
      <c r="H7" s="48">
        <v>0.25</v>
      </c>
      <c r="I7" s="50">
        <v>92.1</v>
      </c>
      <c r="J7" s="49">
        <v>81.099999999999994</v>
      </c>
    </row>
    <row r="8" spans="3:10" ht="44" thickBot="1" x14ac:dyDescent="0.4">
      <c r="C8" s="47" t="s">
        <v>58</v>
      </c>
      <c r="D8" s="48">
        <v>6</v>
      </c>
      <c r="E8" s="48">
        <v>0</v>
      </c>
      <c r="F8" s="48">
        <v>36</v>
      </c>
      <c r="G8" s="49">
        <v>14.3</v>
      </c>
      <c r="H8" s="48" t="s">
        <v>318</v>
      </c>
      <c r="I8" s="50">
        <v>37.299999999999997</v>
      </c>
      <c r="J8" s="49" t="s">
        <v>318</v>
      </c>
    </row>
    <row r="9" spans="3:10" ht="44" thickBot="1" x14ac:dyDescent="0.4">
      <c r="C9" s="47" t="s">
        <v>59</v>
      </c>
      <c r="D9" s="48">
        <v>0</v>
      </c>
      <c r="E9" s="48">
        <v>2</v>
      </c>
      <c r="F9" s="48">
        <v>40</v>
      </c>
      <c r="G9" s="49">
        <v>4.8</v>
      </c>
      <c r="H9" s="48" t="s">
        <v>318</v>
      </c>
      <c r="I9" s="50">
        <v>17.399999999999999</v>
      </c>
      <c r="J9" s="49" t="s">
        <v>318</v>
      </c>
    </row>
    <row r="10" spans="3:10" ht="15" thickBot="1" x14ac:dyDescent="0.4">
      <c r="C10" s="47" t="s">
        <v>60</v>
      </c>
      <c r="D10" s="48">
        <v>12</v>
      </c>
      <c r="E10" s="48">
        <v>0</v>
      </c>
      <c r="F10" s="48">
        <v>30</v>
      </c>
      <c r="G10" s="49">
        <v>28.6</v>
      </c>
      <c r="H10" s="48">
        <v>0</v>
      </c>
      <c r="I10" s="50">
        <v>54.5</v>
      </c>
      <c r="J10" s="49">
        <v>0</v>
      </c>
    </row>
    <row r="11" spans="3:10" ht="218" thickBot="1" x14ac:dyDescent="0.4">
      <c r="C11" s="51" t="s">
        <v>61</v>
      </c>
      <c r="D11" s="48">
        <v>1</v>
      </c>
      <c r="E11" s="48">
        <v>2</v>
      </c>
      <c r="F11" s="48">
        <v>39</v>
      </c>
      <c r="G11" s="49">
        <v>7.1</v>
      </c>
      <c r="H11" s="48" t="s">
        <v>318</v>
      </c>
      <c r="I11" s="50">
        <v>27.6</v>
      </c>
      <c r="J11" s="49" t="s">
        <v>318</v>
      </c>
    </row>
    <row r="12" spans="3:10" ht="145.5" thickBot="1" x14ac:dyDescent="0.4">
      <c r="C12" s="51" t="s">
        <v>62</v>
      </c>
      <c r="D12" s="48">
        <v>35</v>
      </c>
      <c r="E12" s="48">
        <v>4</v>
      </c>
      <c r="F12" s="48">
        <v>3</v>
      </c>
      <c r="G12" s="49">
        <v>92.9</v>
      </c>
      <c r="H12" s="48">
        <v>0.1</v>
      </c>
      <c r="I12" s="50">
        <v>46.4</v>
      </c>
      <c r="J12" s="49">
        <v>47.7</v>
      </c>
    </row>
    <row r="13" spans="3:10" ht="131" thickBot="1" x14ac:dyDescent="0.4">
      <c r="C13" s="51" t="s">
        <v>64</v>
      </c>
      <c r="D13" s="48">
        <v>2</v>
      </c>
      <c r="E13" s="48">
        <v>0</v>
      </c>
      <c r="F13" s="48">
        <v>40</v>
      </c>
      <c r="G13" s="49">
        <v>4.8</v>
      </c>
      <c r="H13" s="48" t="s">
        <v>318</v>
      </c>
      <c r="I13" s="50">
        <v>17.399999999999999</v>
      </c>
      <c r="J13" s="49" t="s">
        <v>318</v>
      </c>
    </row>
    <row r="14" spans="3:10" ht="116.5" thickBot="1" x14ac:dyDescent="0.4">
      <c r="C14" s="51" t="s">
        <v>65</v>
      </c>
      <c r="D14" s="48">
        <v>0</v>
      </c>
      <c r="E14" s="48">
        <v>10</v>
      </c>
      <c r="F14" s="48">
        <v>32</v>
      </c>
      <c r="G14" s="49">
        <v>23.8</v>
      </c>
      <c r="H14" s="48">
        <v>1</v>
      </c>
      <c r="I14" s="50">
        <v>50</v>
      </c>
      <c r="J14" s="49">
        <v>0</v>
      </c>
    </row>
    <row r="15" spans="3:10" ht="29.5" thickBot="1" x14ac:dyDescent="0.4">
      <c r="C15" s="51" t="s">
        <v>66</v>
      </c>
      <c r="D15" s="48">
        <v>10</v>
      </c>
      <c r="E15" s="48">
        <v>2</v>
      </c>
      <c r="F15" s="48">
        <v>30</v>
      </c>
      <c r="G15" s="49">
        <v>28.6</v>
      </c>
      <c r="H15" s="48">
        <v>0.17</v>
      </c>
      <c r="I15" s="50">
        <v>66.2</v>
      </c>
      <c r="J15" s="49">
        <v>65</v>
      </c>
    </row>
    <row r="16" spans="3:10" ht="44" thickBot="1" x14ac:dyDescent="0.4">
      <c r="C16" s="51" t="s">
        <v>67</v>
      </c>
      <c r="D16" s="48">
        <v>10</v>
      </c>
      <c r="E16" s="48">
        <v>0</v>
      </c>
      <c r="F16" s="48">
        <v>32</v>
      </c>
      <c r="G16" s="49">
        <v>23.8</v>
      </c>
      <c r="H16" s="48">
        <v>0</v>
      </c>
      <c r="I16" s="50">
        <v>50</v>
      </c>
      <c r="J16" s="49">
        <v>0</v>
      </c>
    </row>
    <row r="17" spans="3:10" ht="29.5" thickBot="1" x14ac:dyDescent="0.4">
      <c r="C17" s="51" t="s">
        <v>68</v>
      </c>
      <c r="D17" s="48">
        <v>0</v>
      </c>
      <c r="E17" s="48">
        <v>9</v>
      </c>
      <c r="F17" s="48">
        <v>33</v>
      </c>
      <c r="G17" s="49">
        <v>21.4</v>
      </c>
      <c r="H17" s="48">
        <v>1</v>
      </c>
      <c r="I17" s="50">
        <v>47.3</v>
      </c>
      <c r="J17" s="49">
        <v>0</v>
      </c>
    </row>
    <row r="18" spans="3:10" ht="15" thickBot="1" x14ac:dyDescent="0.4">
      <c r="C18" s="47" t="s">
        <v>69</v>
      </c>
      <c r="D18" s="48">
        <v>16</v>
      </c>
      <c r="E18" s="48">
        <v>25</v>
      </c>
      <c r="F18" s="48">
        <v>1</v>
      </c>
      <c r="G18" s="49">
        <v>97.6</v>
      </c>
      <c r="H18" s="48">
        <v>0.61</v>
      </c>
      <c r="I18" s="50">
        <v>69.7</v>
      </c>
      <c r="J18" s="49">
        <v>96.5</v>
      </c>
    </row>
    <row r="19" spans="3:10" ht="15" thickBot="1" x14ac:dyDescent="0.4">
      <c r="C19" s="47" t="s">
        <v>70</v>
      </c>
      <c r="D19" s="48">
        <v>0</v>
      </c>
      <c r="E19" s="48">
        <v>29</v>
      </c>
      <c r="F19" s="48">
        <v>13</v>
      </c>
      <c r="G19" s="49">
        <v>69</v>
      </c>
      <c r="H19" s="48">
        <v>1</v>
      </c>
      <c r="I19" s="50">
        <v>56.3</v>
      </c>
      <c r="J19" s="49">
        <v>0</v>
      </c>
    </row>
    <row r="20" spans="3:10" ht="87.5" thickBot="1" x14ac:dyDescent="0.4">
      <c r="C20" s="51" t="s">
        <v>71</v>
      </c>
      <c r="D20" s="48">
        <v>19</v>
      </c>
      <c r="E20" s="48">
        <v>15</v>
      </c>
      <c r="F20" s="48">
        <v>8</v>
      </c>
      <c r="G20" s="49">
        <v>81</v>
      </c>
      <c r="H20" s="48">
        <v>0.44</v>
      </c>
      <c r="I20" s="50">
        <v>94.9</v>
      </c>
      <c r="J20" s="49">
        <v>99</v>
      </c>
    </row>
    <row r="21" spans="3:10" ht="58.5" thickBot="1" x14ac:dyDescent="0.4">
      <c r="C21" s="51" t="s">
        <v>72</v>
      </c>
      <c r="D21" s="48">
        <v>11</v>
      </c>
      <c r="E21" s="48">
        <v>2</v>
      </c>
      <c r="F21" s="48">
        <v>29</v>
      </c>
      <c r="G21" s="49">
        <v>31</v>
      </c>
      <c r="H21" s="48">
        <v>0.15</v>
      </c>
      <c r="I21" s="50">
        <v>68.400000000000006</v>
      </c>
      <c r="J21" s="49">
        <v>61.9</v>
      </c>
    </row>
    <row r="22" spans="3:10" ht="87.5" thickBot="1" x14ac:dyDescent="0.4">
      <c r="C22" s="51" t="s">
        <v>73</v>
      </c>
      <c r="D22" s="48">
        <v>12</v>
      </c>
      <c r="E22" s="48">
        <v>1</v>
      </c>
      <c r="F22" s="48">
        <v>29</v>
      </c>
      <c r="G22" s="49">
        <v>31</v>
      </c>
      <c r="H22" s="48">
        <v>0.08</v>
      </c>
      <c r="I22" s="50">
        <v>64</v>
      </c>
      <c r="J22" s="49">
        <v>39.1</v>
      </c>
    </row>
    <row r="23" spans="3:10" ht="58.5" thickBot="1" x14ac:dyDescent="0.4">
      <c r="C23" s="51" t="s">
        <v>74</v>
      </c>
      <c r="D23" s="48">
        <v>14</v>
      </c>
      <c r="E23" s="48">
        <v>0</v>
      </c>
      <c r="F23" s="48">
        <v>28</v>
      </c>
      <c r="G23" s="49">
        <v>33.299999999999997</v>
      </c>
      <c r="H23" s="48">
        <v>0</v>
      </c>
      <c r="I23" s="50">
        <v>57.9</v>
      </c>
      <c r="J23" s="49">
        <v>0</v>
      </c>
    </row>
    <row r="24" spans="3:10" ht="15" thickBot="1" x14ac:dyDescent="0.4">
      <c r="C24" s="47" t="s">
        <v>319</v>
      </c>
      <c r="D24" s="48">
        <v>9</v>
      </c>
      <c r="E24" s="48">
        <v>28</v>
      </c>
      <c r="F24" s="48">
        <v>5</v>
      </c>
      <c r="G24" s="49">
        <v>88.1</v>
      </c>
      <c r="H24" s="48">
        <v>0.76</v>
      </c>
      <c r="I24" s="50">
        <v>77.7</v>
      </c>
      <c r="J24" s="49">
        <v>80</v>
      </c>
    </row>
    <row r="25" spans="3:10" ht="15" thickBot="1" x14ac:dyDescent="0.4">
      <c r="C25" s="47" t="s">
        <v>320</v>
      </c>
      <c r="D25" s="48">
        <v>33</v>
      </c>
      <c r="E25" s="48">
        <v>7</v>
      </c>
      <c r="F25" s="48">
        <v>2</v>
      </c>
      <c r="G25" s="49">
        <v>95.2</v>
      </c>
      <c r="H25" s="48">
        <v>0.18</v>
      </c>
      <c r="I25" s="50">
        <v>57.6</v>
      </c>
      <c r="J25" s="49">
        <v>66.900000000000006</v>
      </c>
    </row>
    <row r="26" spans="3:10" ht="15" thickBot="1" x14ac:dyDescent="0.4">
      <c r="C26" s="47" t="s">
        <v>77</v>
      </c>
      <c r="D26" s="48">
        <v>3</v>
      </c>
      <c r="E26" s="48">
        <v>35</v>
      </c>
      <c r="F26" s="48">
        <v>4</v>
      </c>
      <c r="G26" s="49">
        <v>90.5</v>
      </c>
      <c r="H26" s="48">
        <v>0.92</v>
      </c>
      <c r="I26" s="50">
        <v>51.4</v>
      </c>
      <c r="J26" s="49">
        <v>39.799999999999997</v>
      </c>
    </row>
    <row r="27" spans="3:10" ht="15" thickBot="1" x14ac:dyDescent="0.4">
      <c r="C27" s="47" t="s">
        <v>78</v>
      </c>
      <c r="D27" s="48">
        <v>27</v>
      </c>
      <c r="E27" s="48">
        <v>13</v>
      </c>
      <c r="F27" s="48">
        <v>2</v>
      </c>
      <c r="G27" s="49">
        <v>95.2</v>
      </c>
      <c r="H27" s="48">
        <v>0.33</v>
      </c>
      <c r="I27" s="50">
        <v>66.400000000000006</v>
      </c>
      <c r="J27" s="49">
        <v>91</v>
      </c>
    </row>
    <row r="28" spans="3:10" ht="15" thickBot="1" x14ac:dyDescent="0.4">
      <c r="C28" s="47" t="s">
        <v>79</v>
      </c>
      <c r="D28" s="48">
        <v>7</v>
      </c>
      <c r="E28" s="48">
        <v>34</v>
      </c>
      <c r="F28" s="48">
        <v>1</v>
      </c>
      <c r="G28" s="49">
        <v>97.6</v>
      </c>
      <c r="H28" s="48">
        <v>0.83</v>
      </c>
      <c r="I28" s="50">
        <v>50.9</v>
      </c>
      <c r="J28" s="49">
        <v>65.900000000000006</v>
      </c>
    </row>
    <row r="29" spans="3:10" ht="29.5" thickBot="1" x14ac:dyDescent="0.4">
      <c r="C29" s="51" t="s">
        <v>80</v>
      </c>
      <c r="D29" s="48">
        <v>39</v>
      </c>
      <c r="E29" s="48">
        <v>0</v>
      </c>
      <c r="F29" s="48">
        <v>3</v>
      </c>
      <c r="G29" s="49">
        <v>92.9</v>
      </c>
      <c r="H29" s="48">
        <v>0</v>
      </c>
      <c r="I29" s="50">
        <v>23.4</v>
      </c>
      <c r="J29" s="49">
        <v>0</v>
      </c>
    </row>
    <row r="30" spans="3:10" ht="29.5" thickBot="1" x14ac:dyDescent="0.4">
      <c r="C30" s="51" t="s">
        <v>81</v>
      </c>
      <c r="D30" s="48">
        <v>39</v>
      </c>
      <c r="E30" s="48">
        <v>0</v>
      </c>
      <c r="F30" s="48">
        <v>3</v>
      </c>
      <c r="G30" s="49">
        <v>92.9</v>
      </c>
      <c r="H30" s="48">
        <v>0</v>
      </c>
      <c r="I30" s="50">
        <v>17.7</v>
      </c>
      <c r="J30" s="49">
        <v>0</v>
      </c>
    </row>
    <row r="31" spans="3:10" ht="73" thickBot="1" x14ac:dyDescent="0.4">
      <c r="C31" s="51" t="s">
        <v>82</v>
      </c>
      <c r="D31" s="48">
        <v>0</v>
      </c>
      <c r="E31" s="48">
        <v>1</v>
      </c>
      <c r="F31" s="48">
        <v>41</v>
      </c>
      <c r="G31" s="49">
        <v>2.4</v>
      </c>
      <c r="H31" s="48" t="s">
        <v>318</v>
      </c>
      <c r="I31" s="50">
        <v>10.199999999999999</v>
      </c>
      <c r="J31" s="49" t="s">
        <v>318</v>
      </c>
    </row>
    <row r="32" spans="3:10" ht="131" thickBot="1" x14ac:dyDescent="0.4">
      <c r="C32" s="51" t="s">
        <v>83</v>
      </c>
      <c r="D32" s="48">
        <v>0</v>
      </c>
      <c r="E32" s="48">
        <v>20</v>
      </c>
      <c r="F32" s="48">
        <v>22</v>
      </c>
      <c r="G32" s="49">
        <v>47.6</v>
      </c>
      <c r="H32" s="48">
        <v>1</v>
      </c>
      <c r="I32" s="50">
        <v>63</v>
      </c>
      <c r="J32" s="49">
        <v>0</v>
      </c>
    </row>
    <row r="33" spans="3:10" ht="15" thickBot="1" x14ac:dyDescent="0.4">
      <c r="C33" s="47" t="s">
        <v>84</v>
      </c>
      <c r="D33" s="48">
        <v>42</v>
      </c>
      <c r="E33" s="48">
        <v>0</v>
      </c>
      <c r="F33" s="48">
        <v>0</v>
      </c>
      <c r="G33" s="49">
        <v>100</v>
      </c>
      <c r="H33" s="48">
        <v>0</v>
      </c>
      <c r="I33" s="50">
        <v>0</v>
      </c>
      <c r="J33" s="49">
        <v>0</v>
      </c>
    </row>
    <row r="34" spans="3:10" ht="44" thickBot="1" x14ac:dyDescent="0.4">
      <c r="C34" s="47" t="s">
        <v>85</v>
      </c>
      <c r="D34" s="48">
        <v>0</v>
      </c>
      <c r="E34" s="48">
        <v>5</v>
      </c>
      <c r="F34" s="48">
        <v>37</v>
      </c>
      <c r="G34" s="49">
        <v>11.9</v>
      </c>
      <c r="H34" s="48" t="s">
        <v>318</v>
      </c>
      <c r="I34" s="50">
        <v>33.200000000000003</v>
      </c>
      <c r="J34" s="49" t="s">
        <v>318</v>
      </c>
    </row>
    <row r="35" spans="3:10" ht="15" thickBot="1" x14ac:dyDescent="0.4">
      <c r="C35" s="47" t="s">
        <v>86</v>
      </c>
      <c r="D35" s="48">
        <v>6</v>
      </c>
      <c r="E35" s="48">
        <v>35</v>
      </c>
      <c r="F35" s="48">
        <v>1</v>
      </c>
      <c r="G35" s="49">
        <v>97.6</v>
      </c>
      <c r="H35" s="48">
        <v>0.85</v>
      </c>
      <c r="I35" s="50">
        <v>47.2</v>
      </c>
      <c r="J35" s="49">
        <v>60.1</v>
      </c>
    </row>
    <row r="36" spans="3:10" ht="15" thickBot="1" x14ac:dyDescent="0.4">
      <c r="C36" s="47" t="s">
        <v>87</v>
      </c>
      <c r="D36" s="48">
        <v>12</v>
      </c>
      <c r="E36" s="48">
        <v>0</v>
      </c>
      <c r="F36" s="48">
        <v>30</v>
      </c>
      <c r="G36" s="49">
        <v>28.6</v>
      </c>
      <c r="H36" s="48">
        <v>0</v>
      </c>
      <c r="I36" s="50">
        <v>54.5</v>
      </c>
      <c r="J36" s="49">
        <v>0</v>
      </c>
    </row>
    <row r="37" spans="3:10" ht="15" thickBot="1" x14ac:dyDescent="0.4">
      <c r="C37" s="47" t="s">
        <v>88</v>
      </c>
      <c r="D37" s="48">
        <v>6</v>
      </c>
      <c r="E37" s="48">
        <v>36</v>
      </c>
      <c r="F37" s="48">
        <v>0</v>
      </c>
      <c r="G37" s="49">
        <v>100</v>
      </c>
      <c r="H37" s="48">
        <v>0.86</v>
      </c>
      <c r="I37" s="50">
        <v>37.299999999999997</v>
      </c>
      <c r="J37" s="49">
        <v>59.2</v>
      </c>
    </row>
    <row r="38" spans="3:10" ht="15" thickBot="1" x14ac:dyDescent="0.4">
      <c r="C38" s="47" t="s">
        <v>89</v>
      </c>
      <c r="D38" s="48">
        <v>10</v>
      </c>
      <c r="E38" s="48">
        <v>0</v>
      </c>
      <c r="F38" s="48">
        <v>32</v>
      </c>
      <c r="G38" s="49">
        <v>23.8</v>
      </c>
      <c r="H38" s="48">
        <v>0</v>
      </c>
      <c r="I38" s="50">
        <v>50</v>
      </c>
      <c r="J38" s="49">
        <v>0</v>
      </c>
    </row>
    <row r="39" spans="3:10" ht="15" thickBot="1" x14ac:dyDescent="0.4">
      <c r="C39" s="47" t="s">
        <v>91</v>
      </c>
      <c r="D39" s="48">
        <v>16</v>
      </c>
      <c r="E39" s="48">
        <v>0</v>
      </c>
      <c r="F39" s="48">
        <v>26</v>
      </c>
      <c r="G39" s="49">
        <v>38.1</v>
      </c>
      <c r="H39" s="48">
        <v>0</v>
      </c>
      <c r="I39" s="50">
        <v>60.5</v>
      </c>
      <c r="J39" s="49">
        <v>0</v>
      </c>
    </row>
    <row r="40" spans="3:10" ht="44" thickBot="1" x14ac:dyDescent="0.4">
      <c r="C40" s="47" t="s">
        <v>92</v>
      </c>
      <c r="D40" s="48">
        <v>2</v>
      </c>
      <c r="E40" s="48">
        <v>0</v>
      </c>
      <c r="F40" s="48">
        <v>40</v>
      </c>
      <c r="G40" s="49">
        <v>4.8</v>
      </c>
      <c r="H40" s="48" t="s">
        <v>318</v>
      </c>
      <c r="I40" s="50">
        <v>17.399999999999999</v>
      </c>
      <c r="J40" s="49" t="s">
        <v>318</v>
      </c>
    </row>
    <row r="41" spans="3:10" ht="15" thickBot="1" x14ac:dyDescent="0.4">
      <c r="C41" s="47" t="s">
        <v>93</v>
      </c>
      <c r="D41" s="48">
        <v>28</v>
      </c>
      <c r="E41" s="48">
        <v>9</v>
      </c>
      <c r="F41" s="48">
        <v>5</v>
      </c>
      <c r="G41" s="49">
        <v>88.1</v>
      </c>
      <c r="H41" s="48">
        <v>0.24</v>
      </c>
      <c r="I41" s="50">
        <v>77.7</v>
      </c>
      <c r="J41" s="49">
        <v>80</v>
      </c>
    </row>
    <row r="42" spans="3:10" ht="15" thickBot="1" x14ac:dyDescent="0.4">
      <c r="C42" s="47" t="s">
        <v>94</v>
      </c>
      <c r="D42" s="48">
        <v>4</v>
      </c>
      <c r="E42" s="48">
        <v>17</v>
      </c>
      <c r="F42" s="48">
        <v>21</v>
      </c>
      <c r="G42" s="49">
        <v>50</v>
      </c>
      <c r="H42" s="48">
        <v>0.81</v>
      </c>
      <c r="I42" s="50">
        <v>85.3</v>
      </c>
      <c r="J42" s="49">
        <v>70.2</v>
      </c>
    </row>
    <row r="43" spans="3:10" ht="15" thickBot="1" x14ac:dyDescent="0.4">
      <c r="C43" s="47" t="s">
        <v>95</v>
      </c>
      <c r="D43" s="48">
        <v>6</v>
      </c>
      <c r="E43" s="48">
        <v>33</v>
      </c>
      <c r="F43" s="48">
        <v>3</v>
      </c>
      <c r="G43" s="49">
        <v>92.9</v>
      </c>
      <c r="H43" s="48">
        <v>0.85</v>
      </c>
      <c r="I43" s="50">
        <v>54.9</v>
      </c>
      <c r="J43" s="49">
        <v>61.9</v>
      </c>
    </row>
    <row r="44" spans="3:10" ht="44" thickBot="1" x14ac:dyDescent="0.4">
      <c r="C44" s="47" t="s">
        <v>96</v>
      </c>
      <c r="D44" s="48">
        <v>4</v>
      </c>
      <c r="E44" s="48">
        <v>0</v>
      </c>
      <c r="F44" s="48">
        <v>38</v>
      </c>
      <c r="G44" s="49">
        <v>9.5</v>
      </c>
      <c r="H44" s="48" t="s">
        <v>318</v>
      </c>
      <c r="I44" s="50">
        <v>28.6</v>
      </c>
      <c r="J44" s="49" t="s">
        <v>318</v>
      </c>
    </row>
    <row r="45" spans="3:10" ht="15" thickBot="1" x14ac:dyDescent="0.4">
      <c r="C45" s="47" t="s">
        <v>97</v>
      </c>
      <c r="D45" s="48">
        <v>2</v>
      </c>
      <c r="E45" s="48">
        <v>18</v>
      </c>
      <c r="F45" s="48">
        <v>22</v>
      </c>
      <c r="G45" s="49">
        <v>47.6</v>
      </c>
      <c r="H45" s="48">
        <v>0.9</v>
      </c>
      <c r="I45" s="50">
        <v>77.099999999999994</v>
      </c>
      <c r="J45" s="49">
        <v>46.9</v>
      </c>
    </row>
    <row r="46" spans="3:10" ht="15" thickBot="1" x14ac:dyDescent="0.4">
      <c r="C46" s="47" t="s">
        <v>98</v>
      </c>
      <c r="D46" s="48">
        <v>27</v>
      </c>
      <c r="E46" s="48">
        <v>0</v>
      </c>
      <c r="F46" s="48">
        <v>15</v>
      </c>
      <c r="G46" s="49">
        <v>64.3</v>
      </c>
      <c r="H46" s="48">
        <v>0</v>
      </c>
      <c r="I46" s="50">
        <v>58.4</v>
      </c>
      <c r="J46" s="49">
        <v>0</v>
      </c>
    </row>
    <row r="47" spans="3:10" ht="44" thickBot="1" x14ac:dyDescent="0.4">
      <c r="C47" s="47" t="s">
        <v>99</v>
      </c>
      <c r="D47" s="48">
        <v>3</v>
      </c>
      <c r="E47" s="48">
        <v>0</v>
      </c>
      <c r="F47" s="48">
        <v>39</v>
      </c>
      <c r="G47" s="49">
        <v>7.1</v>
      </c>
      <c r="H47" s="48" t="s">
        <v>318</v>
      </c>
      <c r="I47" s="50">
        <v>23.4</v>
      </c>
      <c r="J47" s="49" t="s">
        <v>318</v>
      </c>
    </row>
    <row r="48" spans="3:10" ht="15" thickBot="1" x14ac:dyDescent="0.4">
      <c r="C48" s="47" t="s">
        <v>100</v>
      </c>
      <c r="D48" s="48">
        <v>7</v>
      </c>
      <c r="E48" s="48">
        <v>3</v>
      </c>
      <c r="F48" s="48">
        <v>32</v>
      </c>
      <c r="G48" s="49">
        <v>23.8</v>
      </c>
      <c r="H48" s="48">
        <v>0.3</v>
      </c>
      <c r="I48" s="50">
        <v>63.2</v>
      </c>
      <c r="J48" s="49">
        <v>88.1</v>
      </c>
    </row>
    <row r="49" spans="3:10" ht="15" thickBot="1" x14ac:dyDescent="0.4">
      <c r="C49" s="47" t="s">
        <v>101</v>
      </c>
      <c r="D49" s="48">
        <v>22</v>
      </c>
      <c r="E49" s="48">
        <v>2</v>
      </c>
      <c r="F49" s="48">
        <v>18</v>
      </c>
      <c r="G49" s="49">
        <v>57.1</v>
      </c>
      <c r="H49" s="48">
        <v>0.08</v>
      </c>
      <c r="I49" s="50">
        <v>77.099999999999994</v>
      </c>
      <c r="J49" s="49">
        <v>41.4</v>
      </c>
    </row>
    <row r="50" spans="3:10" ht="15" thickBot="1" x14ac:dyDescent="0.4">
      <c r="C50" s="47" t="s">
        <v>102</v>
      </c>
      <c r="D50" s="48">
        <v>1</v>
      </c>
      <c r="E50" s="48">
        <v>10</v>
      </c>
      <c r="F50" s="48">
        <v>31</v>
      </c>
      <c r="G50" s="49">
        <v>26.2</v>
      </c>
      <c r="H50" s="48">
        <v>0.91</v>
      </c>
      <c r="I50" s="50">
        <v>60.4</v>
      </c>
      <c r="J50" s="49">
        <v>43.9</v>
      </c>
    </row>
    <row r="51" spans="3:10" ht="15" thickBot="1" x14ac:dyDescent="0.4">
      <c r="C51" s="47" t="s">
        <v>103</v>
      </c>
      <c r="D51" s="48">
        <v>12</v>
      </c>
      <c r="E51" s="48">
        <v>0</v>
      </c>
      <c r="F51" s="48">
        <v>30</v>
      </c>
      <c r="G51" s="49">
        <v>28.6</v>
      </c>
      <c r="H51" s="48">
        <v>0</v>
      </c>
      <c r="I51" s="50">
        <v>54.5</v>
      </c>
      <c r="J51" s="49">
        <v>0</v>
      </c>
    </row>
    <row r="52" spans="3:10" ht="15" thickBot="1" x14ac:dyDescent="0.4">
      <c r="C52" s="47" t="s">
        <v>104</v>
      </c>
      <c r="D52" s="48">
        <v>28</v>
      </c>
      <c r="E52" s="48">
        <v>0</v>
      </c>
      <c r="F52" s="48">
        <v>14</v>
      </c>
      <c r="G52" s="49">
        <v>66.7</v>
      </c>
      <c r="H52" s="48">
        <v>0</v>
      </c>
      <c r="I52" s="50">
        <v>57.9</v>
      </c>
      <c r="J52" s="49">
        <v>0</v>
      </c>
    </row>
    <row r="53" spans="3:10" ht="44" thickBot="1" x14ac:dyDescent="0.4">
      <c r="C53" s="47" t="s">
        <v>105</v>
      </c>
      <c r="D53" s="48">
        <v>0</v>
      </c>
      <c r="E53" s="48">
        <v>5</v>
      </c>
      <c r="F53" s="48">
        <v>37</v>
      </c>
      <c r="G53" s="49">
        <v>11.9</v>
      </c>
      <c r="H53" s="48" t="s">
        <v>318</v>
      </c>
      <c r="I53" s="50">
        <v>33.200000000000003</v>
      </c>
      <c r="J53" s="49" t="s">
        <v>318</v>
      </c>
    </row>
    <row r="54" spans="3:10" ht="44" thickBot="1" x14ac:dyDescent="0.4">
      <c r="C54" s="47" t="s">
        <v>106</v>
      </c>
      <c r="D54" s="48">
        <v>0</v>
      </c>
      <c r="E54" s="48">
        <v>5</v>
      </c>
      <c r="F54" s="48">
        <v>37</v>
      </c>
      <c r="G54" s="49">
        <v>11.9</v>
      </c>
      <c r="H54" s="48" t="s">
        <v>318</v>
      </c>
      <c r="I54" s="50">
        <v>33.200000000000003</v>
      </c>
      <c r="J54" s="49" t="s">
        <v>318</v>
      </c>
    </row>
    <row r="55" spans="3:10" ht="44" thickBot="1" x14ac:dyDescent="0.4">
      <c r="C55" s="47" t="s">
        <v>107</v>
      </c>
      <c r="D55" s="48">
        <v>0</v>
      </c>
      <c r="E55" s="48">
        <v>3</v>
      </c>
      <c r="F55" s="48">
        <v>39</v>
      </c>
      <c r="G55" s="49">
        <v>7.1</v>
      </c>
      <c r="H55" s="48" t="s">
        <v>318</v>
      </c>
      <c r="I55" s="50">
        <v>23.4</v>
      </c>
      <c r="J55" s="49" t="s">
        <v>318</v>
      </c>
    </row>
    <row r="56" spans="3:10" ht="15" thickBot="1" x14ac:dyDescent="0.4">
      <c r="C56" s="47" t="s">
        <v>108</v>
      </c>
      <c r="D56" s="48">
        <v>29</v>
      </c>
      <c r="E56" s="48">
        <v>0</v>
      </c>
      <c r="F56" s="48">
        <v>13</v>
      </c>
      <c r="G56" s="49">
        <v>69</v>
      </c>
      <c r="H56" s="48">
        <v>0</v>
      </c>
      <c r="I56" s="50">
        <v>56.3</v>
      </c>
      <c r="J56" s="49">
        <v>0</v>
      </c>
    </row>
    <row r="57" spans="3:10" ht="15" thickBot="1" x14ac:dyDescent="0.4">
      <c r="C57" s="47" t="s">
        <v>109</v>
      </c>
      <c r="D57" s="48">
        <v>32</v>
      </c>
      <c r="E57" s="48">
        <v>6</v>
      </c>
      <c r="F57" s="48">
        <v>4</v>
      </c>
      <c r="G57" s="49">
        <v>90.5</v>
      </c>
      <c r="H57" s="48">
        <v>0.16</v>
      </c>
      <c r="I57" s="50">
        <v>64.5</v>
      </c>
      <c r="J57" s="49">
        <v>62.9</v>
      </c>
    </row>
    <row r="58" spans="3:10" ht="15" thickBot="1" x14ac:dyDescent="0.4">
      <c r="C58" s="47" t="s">
        <v>110</v>
      </c>
      <c r="D58" s="48">
        <v>11</v>
      </c>
      <c r="E58" s="48">
        <v>2</v>
      </c>
      <c r="F58" s="48">
        <v>29</v>
      </c>
      <c r="G58" s="49">
        <v>31</v>
      </c>
      <c r="H58" s="48">
        <v>0.15</v>
      </c>
      <c r="I58" s="50">
        <v>68.400000000000006</v>
      </c>
      <c r="J58" s="49">
        <v>61.9</v>
      </c>
    </row>
    <row r="59" spans="3:10" ht="15" thickBot="1" x14ac:dyDescent="0.4">
      <c r="C59" s="47" t="s">
        <v>111</v>
      </c>
      <c r="D59" s="48">
        <v>40</v>
      </c>
      <c r="E59" s="48">
        <v>0</v>
      </c>
      <c r="F59" s="48">
        <v>2</v>
      </c>
      <c r="G59" s="49">
        <v>95.2</v>
      </c>
      <c r="H59" s="48">
        <v>0</v>
      </c>
      <c r="I59" s="50">
        <v>17.399999999999999</v>
      </c>
      <c r="J59" s="49">
        <v>0</v>
      </c>
    </row>
    <row r="60" spans="3:10" ht="15" thickBot="1" x14ac:dyDescent="0.4">
      <c r="C60" s="47" t="s">
        <v>112</v>
      </c>
      <c r="D60" s="48">
        <v>40</v>
      </c>
      <c r="E60" s="48">
        <v>0</v>
      </c>
      <c r="F60" s="48">
        <v>2</v>
      </c>
      <c r="G60" s="49">
        <v>95.2</v>
      </c>
      <c r="H60" s="48">
        <v>0</v>
      </c>
      <c r="I60" s="50">
        <v>10.4</v>
      </c>
      <c r="J60" s="49">
        <v>0</v>
      </c>
    </row>
    <row r="61" spans="3:10" ht="15" thickBot="1" x14ac:dyDescent="0.4">
      <c r="C61" s="47" t="s">
        <v>321</v>
      </c>
      <c r="D61" s="48">
        <v>2</v>
      </c>
      <c r="E61" s="48">
        <v>16</v>
      </c>
      <c r="F61" s="48">
        <v>24</v>
      </c>
      <c r="G61" s="49">
        <v>42.9</v>
      </c>
      <c r="H61" s="48">
        <v>0.89</v>
      </c>
      <c r="I61" s="50">
        <v>75.8</v>
      </c>
      <c r="J61" s="49">
        <v>50.3</v>
      </c>
    </row>
    <row r="62" spans="3:10" ht="58.5" thickBot="1" x14ac:dyDescent="0.4">
      <c r="C62" s="51" t="s">
        <v>113</v>
      </c>
      <c r="D62" s="48">
        <v>38</v>
      </c>
      <c r="E62" s="48">
        <v>3</v>
      </c>
      <c r="F62" s="48">
        <v>1</v>
      </c>
      <c r="G62" s="49">
        <v>97.6</v>
      </c>
      <c r="H62" s="48">
        <v>7.0000000000000007E-2</v>
      </c>
      <c r="I62" s="50">
        <v>33.5</v>
      </c>
      <c r="J62" s="49">
        <v>37.799999999999997</v>
      </c>
    </row>
    <row r="63" spans="3:10" ht="15" thickBot="1" x14ac:dyDescent="0.4">
      <c r="C63" s="47" t="s">
        <v>322</v>
      </c>
      <c r="D63" s="48">
        <v>20</v>
      </c>
      <c r="E63" s="48">
        <v>20</v>
      </c>
      <c r="F63" s="48">
        <v>2</v>
      </c>
      <c r="G63" s="49">
        <v>95.2</v>
      </c>
      <c r="H63" s="48">
        <v>0.5</v>
      </c>
      <c r="I63" s="50">
        <v>77.5</v>
      </c>
      <c r="J63" s="49">
        <v>100</v>
      </c>
    </row>
    <row r="64" spans="3:10" ht="44" thickBot="1" x14ac:dyDescent="0.4">
      <c r="C64" s="47" t="s">
        <v>115</v>
      </c>
      <c r="D64" s="48">
        <v>2</v>
      </c>
      <c r="E64" s="48">
        <v>0</v>
      </c>
      <c r="F64" s="48">
        <v>40</v>
      </c>
      <c r="G64" s="49">
        <v>4.8</v>
      </c>
      <c r="H64" s="48" t="s">
        <v>318</v>
      </c>
      <c r="I64" s="50">
        <v>17.399999999999999</v>
      </c>
      <c r="J64" s="49" t="s">
        <v>318</v>
      </c>
    </row>
    <row r="65" spans="3:10" ht="15" thickBot="1" x14ac:dyDescent="0.4">
      <c r="C65" s="47" t="s">
        <v>116</v>
      </c>
      <c r="D65" s="48">
        <v>6</v>
      </c>
      <c r="E65" s="48">
        <v>35</v>
      </c>
      <c r="F65" s="48">
        <v>1</v>
      </c>
      <c r="G65" s="49">
        <v>97.6</v>
      </c>
      <c r="H65" s="48">
        <v>0.85</v>
      </c>
      <c r="I65" s="50">
        <v>47.2</v>
      </c>
      <c r="J65" s="49">
        <v>60.1</v>
      </c>
    </row>
    <row r="66" spans="3:10" ht="15" thickBot="1" x14ac:dyDescent="0.4">
      <c r="C66" s="52" t="s">
        <v>117</v>
      </c>
      <c r="D66" s="48">
        <v>16</v>
      </c>
      <c r="E66" s="48">
        <v>1</v>
      </c>
      <c r="F66" s="48">
        <v>25</v>
      </c>
      <c r="G66" s="49">
        <v>40.5</v>
      </c>
      <c r="H66" s="48">
        <v>0.06</v>
      </c>
      <c r="I66" s="50">
        <v>69.7</v>
      </c>
      <c r="J66" s="49">
        <v>32.299999999999997</v>
      </c>
    </row>
    <row r="67" spans="3:10" ht="44" thickBot="1" x14ac:dyDescent="0.4">
      <c r="C67" s="47" t="s">
        <v>118</v>
      </c>
      <c r="D67" s="48">
        <v>0</v>
      </c>
      <c r="E67" s="48">
        <v>6</v>
      </c>
      <c r="F67" s="48">
        <v>36</v>
      </c>
      <c r="G67" s="49">
        <v>14.3</v>
      </c>
      <c r="H67" s="48" t="s">
        <v>318</v>
      </c>
      <c r="I67" s="50">
        <v>37.299999999999997</v>
      </c>
      <c r="J67" s="49" t="s">
        <v>318</v>
      </c>
    </row>
    <row r="68" spans="3:10" ht="44" thickBot="1" x14ac:dyDescent="0.4">
      <c r="C68" s="47" t="s">
        <v>323</v>
      </c>
      <c r="D68" s="48">
        <v>2</v>
      </c>
      <c r="E68" s="48">
        <v>3</v>
      </c>
      <c r="F68" s="48">
        <v>37</v>
      </c>
      <c r="G68" s="49">
        <v>11.9</v>
      </c>
      <c r="H68" s="48" t="s">
        <v>318</v>
      </c>
      <c r="I68" s="50">
        <v>40.5</v>
      </c>
      <c r="J68" s="49" t="s">
        <v>318</v>
      </c>
    </row>
    <row r="69" spans="3:10" ht="15" thickBot="1" x14ac:dyDescent="0.4">
      <c r="C69" s="47" t="s">
        <v>120</v>
      </c>
      <c r="D69" s="48">
        <v>25</v>
      </c>
      <c r="E69" s="48">
        <v>6</v>
      </c>
      <c r="F69" s="48">
        <v>11</v>
      </c>
      <c r="G69" s="49">
        <v>73.8</v>
      </c>
      <c r="H69" s="48">
        <v>0.19</v>
      </c>
      <c r="I69" s="50">
        <v>85.4</v>
      </c>
      <c r="J69" s="49">
        <v>70.900000000000006</v>
      </c>
    </row>
    <row r="70" spans="3:10" ht="15" thickBot="1" x14ac:dyDescent="0.4">
      <c r="C70" s="47" t="s">
        <v>121</v>
      </c>
      <c r="D70" s="48">
        <v>41</v>
      </c>
      <c r="E70" s="48">
        <v>0</v>
      </c>
      <c r="F70" s="48">
        <v>1</v>
      </c>
      <c r="G70" s="49">
        <v>97.6</v>
      </c>
      <c r="H70" s="48">
        <v>0</v>
      </c>
      <c r="I70" s="50">
        <v>0</v>
      </c>
      <c r="J70" s="49">
        <v>0</v>
      </c>
    </row>
    <row r="71" spans="3:10" ht="131" thickBot="1" x14ac:dyDescent="0.4">
      <c r="C71" s="51" t="s">
        <v>122</v>
      </c>
      <c r="D71" s="48">
        <v>13</v>
      </c>
      <c r="E71" s="48">
        <v>27</v>
      </c>
      <c r="F71" s="48">
        <v>2</v>
      </c>
      <c r="G71" s="49">
        <v>95.2</v>
      </c>
      <c r="H71" s="48">
        <v>0.68</v>
      </c>
      <c r="I71" s="50">
        <v>72.099999999999994</v>
      </c>
      <c r="J71" s="49">
        <v>91</v>
      </c>
    </row>
    <row r="72" spans="3:10" ht="15" thickBot="1" x14ac:dyDescent="0.4">
      <c r="C72" s="47" t="s">
        <v>123</v>
      </c>
      <c r="D72" s="48">
        <v>3</v>
      </c>
      <c r="E72" s="48">
        <v>34</v>
      </c>
      <c r="F72" s="48">
        <v>5</v>
      </c>
      <c r="G72" s="49">
        <v>88.1</v>
      </c>
      <c r="H72" s="48">
        <v>0.92</v>
      </c>
      <c r="I72" s="50">
        <v>55.8</v>
      </c>
      <c r="J72" s="49">
        <v>40.6</v>
      </c>
    </row>
    <row r="73" spans="3:10" ht="15" thickBot="1" x14ac:dyDescent="0.4">
      <c r="C73" s="47" t="s">
        <v>124</v>
      </c>
      <c r="D73" s="48">
        <v>17</v>
      </c>
      <c r="E73" s="48">
        <v>2</v>
      </c>
      <c r="F73" s="48">
        <v>23</v>
      </c>
      <c r="G73" s="49">
        <v>45.2</v>
      </c>
      <c r="H73" s="48">
        <v>0.11</v>
      </c>
      <c r="I73" s="50">
        <v>76.5</v>
      </c>
      <c r="J73" s="49">
        <v>48.5</v>
      </c>
    </row>
    <row r="74" spans="3:10" ht="15" thickBot="1" x14ac:dyDescent="0.4">
      <c r="C74" s="47" t="s">
        <v>125</v>
      </c>
      <c r="D74" s="48">
        <v>0</v>
      </c>
      <c r="E74" s="48">
        <v>18</v>
      </c>
      <c r="F74" s="48">
        <v>24</v>
      </c>
      <c r="G74" s="49">
        <v>42.9</v>
      </c>
      <c r="H74" s="48">
        <v>1</v>
      </c>
      <c r="I74" s="50">
        <v>62.2</v>
      </c>
      <c r="J74" s="49">
        <v>0</v>
      </c>
    </row>
    <row r="75" spans="3:10" ht="15" thickBot="1" x14ac:dyDescent="0.4">
      <c r="C75" s="47" t="s">
        <v>126</v>
      </c>
      <c r="D75" s="48">
        <v>38</v>
      </c>
      <c r="E75" s="48">
        <v>1</v>
      </c>
      <c r="F75" s="48">
        <v>3</v>
      </c>
      <c r="G75" s="49">
        <v>92.9</v>
      </c>
      <c r="H75" s="48">
        <v>0.03</v>
      </c>
      <c r="I75" s="50">
        <v>33.5</v>
      </c>
      <c r="J75" s="49">
        <v>17.2</v>
      </c>
    </row>
    <row r="76" spans="3:10" ht="15" thickBot="1" x14ac:dyDescent="0.4">
      <c r="C76" s="47" t="s">
        <v>127</v>
      </c>
      <c r="D76" s="48">
        <v>13</v>
      </c>
      <c r="E76" s="48">
        <v>1</v>
      </c>
      <c r="F76" s="48">
        <v>28</v>
      </c>
      <c r="G76" s="49">
        <v>33.299999999999997</v>
      </c>
      <c r="H76" s="48">
        <v>7.0000000000000007E-2</v>
      </c>
      <c r="I76" s="50">
        <v>65.7</v>
      </c>
      <c r="J76" s="49">
        <v>37.1</v>
      </c>
    </row>
    <row r="77" spans="3:10" ht="15" thickBot="1" x14ac:dyDescent="0.4">
      <c r="C77" s="47" t="s">
        <v>128</v>
      </c>
      <c r="D77" s="48">
        <v>38</v>
      </c>
      <c r="E77" s="48">
        <v>0</v>
      </c>
      <c r="F77" s="48">
        <v>4</v>
      </c>
      <c r="G77" s="49">
        <v>90.5</v>
      </c>
      <c r="H77" s="48">
        <v>0</v>
      </c>
      <c r="I77" s="50">
        <v>28.6</v>
      </c>
      <c r="J77" s="49">
        <v>0</v>
      </c>
    </row>
    <row r="78" spans="3:10" ht="44" thickBot="1" x14ac:dyDescent="0.4">
      <c r="C78" s="47" t="s">
        <v>129</v>
      </c>
      <c r="D78" s="48">
        <v>2</v>
      </c>
      <c r="E78" s="48">
        <v>0</v>
      </c>
      <c r="F78" s="48">
        <v>40</v>
      </c>
      <c r="G78" s="49">
        <v>4.8</v>
      </c>
      <c r="H78" s="48" t="s">
        <v>318</v>
      </c>
      <c r="I78" s="50">
        <v>17.399999999999999</v>
      </c>
      <c r="J78" s="49" t="s">
        <v>318</v>
      </c>
    </row>
    <row r="79" spans="3:10" ht="44" thickBot="1" x14ac:dyDescent="0.4">
      <c r="C79" s="47" t="s">
        <v>130</v>
      </c>
      <c r="D79" s="48">
        <v>0</v>
      </c>
      <c r="E79" s="48">
        <v>3</v>
      </c>
      <c r="F79" s="48">
        <v>39</v>
      </c>
      <c r="G79" s="49">
        <v>7.1</v>
      </c>
      <c r="H79" s="48" t="s">
        <v>318</v>
      </c>
      <c r="I79" s="50">
        <v>23.4</v>
      </c>
      <c r="J79" s="49" t="s">
        <v>318</v>
      </c>
    </row>
    <row r="80" spans="3:10" ht="116.5" thickBot="1" x14ac:dyDescent="0.4">
      <c r="C80" s="51" t="s">
        <v>131</v>
      </c>
      <c r="D80" s="48">
        <v>41</v>
      </c>
      <c r="E80" s="48">
        <v>1</v>
      </c>
      <c r="F80" s="48">
        <v>0</v>
      </c>
      <c r="G80" s="49">
        <v>100</v>
      </c>
      <c r="H80" s="48">
        <v>0.02</v>
      </c>
      <c r="I80" s="50">
        <v>10.199999999999999</v>
      </c>
      <c r="J80" s="49">
        <v>16.2</v>
      </c>
    </row>
    <row r="81" spans="3:10" ht="116.5" thickBot="1" x14ac:dyDescent="0.4">
      <c r="C81" s="51" t="s">
        <v>132</v>
      </c>
      <c r="D81" s="48">
        <v>23</v>
      </c>
      <c r="E81" s="48">
        <v>0</v>
      </c>
      <c r="F81" s="48">
        <v>19</v>
      </c>
      <c r="G81" s="49">
        <v>54.8</v>
      </c>
      <c r="H81" s="48">
        <v>0</v>
      </c>
      <c r="I81" s="50">
        <v>62.7</v>
      </c>
      <c r="J81" s="49">
        <v>0</v>
      </c>
    </row>
    <row r="82" spans="3:10" ht="102" thickBot="1" x14ac:dyDescent="0.4">
      <c r="C82" s="51" t="s">
        <v>133</v>
      </c>
      <c r="D82" s="48">
        <v>1</v>
      </c>
      <c r="E82" s="48">
        <v>1</v>
      </c>
      <c r="F82" s="48">
        <v>40</v>
      </c>
      <c r="G82" s="49">
        <v>4.8</v>
      </c>
      <c r="H82" s="48" t="s">
        <v>318</v>
      </c>
      <c r="I82" s="50">
        <v>20.399999999999999</v>
      </c>
      <c r="J82" s="49" t="s">
        <v>318</v>
      </c>
    </row>
    <row r="83" spans="3:10" ht="87.5" thickBot="1" x14ac:dyDescent="0.4">
      <c r="C83" s="51" t="s">
        <v>134</v>
      </c>
      <c r="D83" s="48">
        <v>9</v>
      </c>
      <c r="E83" s="48">
        <v>0</v>
      </c>
      <c r="F83" s="48">
        <v>33</v>
      </c>
      <c r="G83" s="49">
        <v>21.4</v>
      </c>
      <c r="H83" s="48">
        <v>0</v>
      </c>
      <c r="I83" s="50">
        <v>47.3</v>
      </c>
      <c r="J83" s="49">
        <v>0</v>
      </c>
    </row>
    <row r="84" spans="3:10" ht="15" thickBot="1" x14ac:dyDescent="0.4">
      <c r="C84" s="47" t="s">
        <v>135</v>
      </c>
      <c r="D84" s="48">
        <v>39</v>
      </c>
      <c r="E84" s="48">
        <v>2</v>
      </c>
      <c r="F84" s="48">
        <v>1</v>
      </c>
      <c r="G84" s="49">
        <v>97.6</v>
      </c>
      <c r="H84" s="48">
        <v>0.05</v>
      </c>
      <c r="I84" s="50">
        <v>27.6</v>
      </c>
      <c r="J84" s="49">
        <v>28.1</v>
      </c>
    </row>
    <row r="85" spans="3:10" ht="15" thickBot="1" x14ac:dyDescent="0.4">
      <c r="C85" s="47" t="s">
        <v>136</v>
      </c>
      <c r="D85" s="48">
        <v>0</v>
      </c>
      <c r="E85" s="48">
        <v>40</v>
      </c>
      <c r="F85" s="48">
        <v>2</v>
      </c>
      <c r="G85" s="49">
        <v>95.2</v>
      </c>
      <c r="H85" s="48">
        <v>1</v>
      </c>
      <c r="I85" s="50">
        <v>10.4</v>
      </c>
      <c r="J85" s="49">
        <v>0</v>
      </c>
    </row>
    <row r="86" spans="3:10" ht="44" thickBot="1" x14ac:dyDescent="0.4">
      <c r="C86" s="47" t="s">
        <v>137</v>
      </c>
      <c r="D86" s="48">
        <v>7</v>
      </c>
      <c r="E86" s="48">
        <v>0</v>
      </c>
      <c r="F86" s="48">
        <v>35</v>
      </c>
      <c r="G86" s="49">
        <v>16.7</v>
      </c>
      <c r="H86" s="48" t="s">
        <v>318</v>
      </c>
      <c r="I86" s="50">
        <v>41</v>
      </c>
      <c r="J86" s="49" t="s">
        <v>318</v>
      </c>
    </row>
    <row r="87" spans="3:10" ht="44" thickBot="1" x14ac:dyDescent="0.4">
      <c r="C87" s="47" t="s">
        <v>138</v>
      </c>
      <c r="D87" s="48">
        <v>2</v>
      </c>
      <c r="E87" s="48">
        <v>0</v>
      </c>
      <c r="F87" s="48">
        <v>40</v>
      </c>
      <c r="G87" s="49">
        <v>4.8</v>
      </c>
      <c r="H87" s="48" t="s">
        <v>318</v>
      </c>
      <c r="I87" s="50">
        <v>17.399999999999999</v>
      </c>
      <c r="J87" s="49" t="s">
        <v>318</v>
      </c>
    </row>
    <row r="88" spans="3:10" ht="87.5" thickBot="1" x14ac:dyDescent="0.4">
      <c r="C88" s="51" t="s">
        <v>139</v>
      </c>
      <c r="D88" s="48">
        <v>37</v>
      </c>
      <c r="E88" s="48">
        <v>4</v>
      </c>
      <c r="F88" s="48">
        <v>1</v>
      </c>
      <c r="G88" s="49">
        <v>97.6</v>
      </c>
      <c r="H88" s="48">
        <v>0.1</v>
      </c>
      <c r="I88" s="50">
        <v>29.1</v>
      </c>
      <c r="J88" s="49">
        <v>46.1</v>
      </c>
    </row>
    <row r="89" spans="3:10" ht="29.5" thickBot="1" x14ac:dyDescent="0.4">
      <c r="C89" s="51" t="s">
        <v>140</v>
      </c>
      <c r="D89" s="48">
        <v>13</v>
      </c>
      <c r="E89" s="48">
        <v>0</v>
      </c>
      <c r="F89" s="48">
        <v>29</v>
      </c>
      <c r="G89" s="49">
        <v>31</v>
      </c>
      <c r="H89" s="48">
        <v>0</v>
      </c>
      <c r="I89" s="50">
        <v>56.3</v>
      </c>
      <c r="J89" s="49">
        <v>0</v>
      </c>
    </row>
    <row r="90" spans="3:10" ht="15" thickBot="1" x14ac:dyDescent="0.4">
      <c r="C90" s="47" t="s">
        <v>141</v>
      </c>
      <c r="D90" s="48">
        <v>40</v>
      </c>
      <c r="E90" s="48">
        <v>0</v>
      </c>
      <c r="F90" s="48">
        <v>2</v>
      </c>
      <c r="G90" s="49">
        <v>95.2</v>
      </c>
      <c r="H90" s="48">
        <v>0</v>
      </c>
      <c r="I90" s="50">
        <v>17.399999999999999</v>
      </c>
      <c r="J90" s="49">
        <v>0</v>
      </c>
    </row>
    <row r="91" spans="3:10" ht="44" thickBot="1" x14ac:dyDescent="0.4">
      <c r="C91" s="47" t="s">
        <v>142</v>
      </c>
      <c r="D91" s="48">
        <v>5</v>
      </c>
      <c r="E91" s="48">
        <v>0</v>
      </c>
      <c r="F91" s="48">
        <v>37</v>
      </c>
      <c r="G91" s="49">
        <v>11.9</v>
      </c>
      <c r="H91" s="48" t="s">
        <v>318</v>
      </c>
      <c r="I91" s="50">
        <v>33.200000000000003</v>
      </c>
      <c r="J91" s="49" t="s">
        <v>318</v>
      </c>
    </row>
    <row r="92" spans="3:10" ht="15" thickBot="1" x14ac:dyDescent="0.4">
      <c r="C92" s="47" t="s">
        <v>143</v>
      </c>
      <c r="D92" s="48">
        <v>4</v>
      </c>
      <c r="E92" s="48">
        <v>26</v>
      </c>
      <c r="F92" s="48">
        <v>12</v>
      </c>
      <c r="G92" s="49">
        <v>71.400000000000006</v>
      </c>
      <c r="H92" s="48">
        <v>0.87</v>
      </c>
      <c r="I92" s="50">
        <v>80</v>
      </c>
      <c r="J92" s="49">
        <v>56.7</v>
      </c>
    </row>
    <row r="93" spans="3:10" ht="15" thickBot="1" x14ac:dyDescent="0.4">
      <c r="C93" s="47" t="s">
        <v>144</v>
      </c>
      <c r="D93" s="48">
        <v>6</v>
      </c>
      <c r="E93" s="48">
        <v>7</v>
      </c>
      <c r="F93" s="48">
        <v>29</v>
      </c>
      <c r="G93" s="49">
        <v>31</v>
      </c>
      <c r="H93" s="48">
        <v>0.54</v>
      </c>
      <c r="I93" s="50">
        <v>75.8</v>
      </c>
      <c r="J93" s="49">
        <v>99.6</v>
      </c>
    </row>
    <row r="94" spans="3:10" ht="44" thickBot="1" x14ac:dyDescent="0.4">
      <c r="C94" s="47" t="s">
        <v>145</v>
      </c>
      <c r="D94" s="48">
        <v>0</v>
      </c>
      <c r="E94" s="48">
        <v>3</v>
      </c>
      <c r="F94" s="48">
        <v>39</v>
      </c>
      <c r="G94" s="49">
        <v>7.1</v>
      </c>
      <c r="H94" s="48" t="s">
        <v>318</v>
      </c>
      <c r="I94" s="50">
        <v>23.4</v>
      </c>
      <c r="J94" s="49" t="s">
        <v>318</v>
      </c>
    </row>
    <row r="95" spans="3:10" ht="44" thickBot="1" x14ac:dyDescent="0.4">
      <c r="C95" s="47" t="s">
        <v>146</v>
      </c>
      <c r="D95" s="48">
        <v>0</v>
      </c>
      <c r="E95" s="48">
        <v>1</v>
      </c>
      <c r="F95" s="48">
        <v>41</v>
      </c>
      <c r="G95" s="49">
        <v>2.4</v>
      </c>
      <c r="H95" s="48" t="s">
        <v>318</v>
      </c>
      <c r="I95" s="50">
        <v>10.199999999999999</v>
      </c>
      <c r="J95" s="49" t="s">
        <v>318</v>
      </c>
    </row>
    <row r="96" spans="3:10" ht="44" thickBot="1" x14ac:dyDescent="0.4">
      <c r="C96" s="47" t="s">
        <v>147</v>
      </c>
      <c r="D96" s="48">
        <v>1</v>
      </c>
      <c r="E96" s="48">
        <v>2</v>
      </c>
      <c r="F96" s="48">
        <v>39</v>
      </c>
      <c r="G96" s="49">
        <v>7.1</v>
      </c>
      <c r="H96" s="48" t="s">
        <v>318</v>
      </c>
      <c r="I96" s="50">
        <v>27.6</v>
      </c>
      <c r="J96" s="49" t="s">
        <v>318</v>
      </c>
    </row>
    <row r="97" spans="3:10" ht="44" thickBot="1" x14ac:dyDescent="0.4">
      <c r="C97" s="47" t="s">
        <v>148</v>
      </c>
      <c r="D97" s="48">
        <v>4</v>
      </c>
      <c r="E97" s="48">
        <v>4</v>
      </c>
      <c r="F97" s="48">
        <v>34</v>
      </c>
      <c r="G97" s="49">
        <v>19</v>
      </c>
      <c r="H97" s="48" t="s">
        <v>318</v>
      </c>
      <c r="I97" s="50">
        <v>56.3</v>
      </c>
      <c r="J97" s="49" t="s">
        <v>318</v>
      </c>
    </row>
    <row r="98" spans="3:10" ht="15" thickBot="1" x14ac:dyDescent="0.4">
      <c r="C98" s="47" t="s">
        <v>149</v>
      </c>
      <c r="D98" s="48">
        <v>1</v>
      </c>
      <c r="E98" s="48">
        <v>10</v>
      </c>
      <c r="F98" s="48">
        <v>31</v>
      </c>
      <c r="G98" s="49">
        <v>26.2</v>
      </c>
      <c r="H98" s="48">
        <v>0.91</v>
      </c>
      <c r="I98" s="50">
        <v>59.6</v>
      </c>
      <c r="J98" s="49">
        <v>43.9</v>
      </c>
    </row>
    <row r="99" spans="3:10" ht="145.5" thickBot="1" x14ac:dyDescent="0.4">
      <c r="C99" s="51" t="s">
        <v>150</v>
      </c>
      <c r="D99" s="48">
        <v>36</v>
      </c>
      <c r="E99" s="48">
        <v>6</v>
      </c>
      <c r="F99" s="48">
        <v>0</v>
      </c>
      <c r="G99" s="49">
        <v>100</v>
      </c>
      <c r="H99" s="48">
        <v>0.14000000000000001</v>
      </c>
      <c r="I99" s="50">
        <v>37.299999999999997</v>
      </c>
      <c r="J99" s="49">
        <v>59.2</v>
      </c>
    </row>
    <row r="100" spans="3:10" ht="44" thickBot="1" x14ac:dyDescent="0.4">
      <c r="C100" s="47" t="s">
        <v>151</v>
      </c>
      <c r="D100" s="48">
        <v>2</v>
      </c>
      <c r="E100" s="48">
        <v>2</v>
      </c>
      <c r="F100" s="48">
        <v>38</v>
      </c>
      <c r="G100" s="49">
        <v>9.5</v>
      </c>
      <c r="H100" s="48" t="s">
        <v>318</v>
      </c>
      <c r="I100" s="50">
        <v>34.6</v>
      </c>
      <c r="J100" s="49" t="s">
        <v>318</v>
      </c>
    </row>
    <row r="101" spans="3:10" ht="44" thickBot="1" x14ac:dyDescent="0.4">
      <c r="C101" s="47" t="s">
        <v>152</v>
      </c>
      <c r="D101" s="48">
        <v>1</v>
      </c>
      <c r="E101" s="48">
        <v>1</v>
      </c>
      <c r="F101" s="48">
        <v>40</v>
      </c>
      <c r="G101" s="49">
        <v>4.8</v>
      </c>
      <c r="H101" s="48" t="s">
        <v>318</v>
      </c>
      <c r="I101" s="50">
        <v>20.399999999999999</v>
      </c>
      <c r="J101" s="49" t="s">
        <v>318</v>
      </c>
    </row>
    <row r="102" spans="3:10" ht="15" thickBot="1" x14ac:dyDescent="0.4">
      <c r="C102" s="47" t="s">
        <v>153</v>
      </c>
      <c r="D102" s="48">
        <v>33</v>
      </c>
      <c r="E102" s="48">
        <v>1</v>
      </c>
      <c r="F102" s="48">
        <v>8</v>
      </c>
      <c r="G102" s="49">
        <v>81</v>
      </c>
      <c r="H102" s="48">
        <v>0.03</v>
      </c>
      <c r="I102" s="50">
        <v>54.1</v>
      </c>
      <c r="J102" s="49">
        <v>19.100000000000001</v>
      </c>
    </row>
    <row r="103" spans="3:10" ht="15" thickBot="1" x14ac:dyDescent="0.4">
      <c r="C103" s="47" t="s">
        <v>154</v>
      </c>
      <c r="D103" s="48">
        <v>33</v>
      </c>
      <c r="E103" s="48">
        <v>1</v>
      </c>
      <c r="F103" s="48">
        <v>8</v>
      </c>
      <c r="G103" s="49">
        <v>81</v>
      </c>
      <c r="H103" s="48">
        <v>0.03</v>
      </c>
      <c r="I103" s="50">
        <v>54.1</v>
      </c>
      <c r="J103" s="49">
        <v>19.100000000000001</v>
      </c>
    </row>
    <row r="104" spans="3:10" ht="44" thickBot="1" x14ac:dyDescent="0.4">
      <c r="C104" s="47" t="s">
        <v>155</v>
      </c>
      <c r="D104" s="48">
        <v>3</v>
      </c>
      <c r="E104" s="48">
        <v>1</v>
      </c>
      <c r="F104" s="48">
        <v>38</v>
      </c>
      <c r="G104" s="49">
        <v>9.5</v>
      </c>
      <c r="H104" s="48" t="s">
        <v>318</v>
      </c>
      <c r="I104" s="50">
        <v>33.5</v>
      </c>
      <c r="J104" s="49" t="s">
        <v>318</v>
      </c>
    </row>
    <row r="105" spans="3:10" ht="44" thickBot="1" x14ac:dyDescent="0.4">
      <c r="C105" s="47" t="s">
        <v>156</v>
      </c>
      <c r="D105" s="48">
        <v>1</v>
      </c>
      <c r="E105" s="48">
        <v>0</v>
      </c>
      <c r="F105" s="48">
        <v>41</v>
      </c>
      <c r="G105" s="49">
        <v>2.4</v>
      </c>
      <c r="H105" s="48" t="s">
        <v>318</v>
      </c>
      <c r="I105" s="50">
        <v>10.199999999999999</v>
      </c>
      <c r="J105" s="49" t="s">
        <v>318</v>
      </c>
    </row>
    <row r="106" spans="3:10" ht="44" thickBot="1" x14ac:dyDescent="0.4">
      <c r="C106" s="47" t="s">
        <v>157</v>
      </c>
      <c r="D106" s="48">
        <v>2</v>
      </c>
      <c r="E106" s="48">
        <v>2</v>
      </c>
      <c r="F106" s="48">
        <v>38</v>
      </c>
      <c r="G106" s="49">
        <v>9.5</v>
      </c>
      <c r="H106" s="48" t="s">
        <v>318</v>
      </c>
      <c r="I106" s="50">
        <v>34.6</v>
      </c>
      <c r="J106" s="49" t="s">
        <v>318</v>
      </c>
    </row>
    <row r="107" spans="3:10" ht="44" thickBot="1" x14ac:dyDescent="0.4">
      <c r="C107" s="47" t="s">
        <v>158</v>
      </c>
      <c r="D107" s="48">
        <v>0</v>
      </c>
      <c r="E107" s="48">
        <v>1</v>
      </c>
      <c r="F107" s="48">
        <v>41</v>
      </c>
      <c r="G107" s="49">
        <v>2.4</v>
      </c>
      <c r="H107" s="48" t="s">
        <v>318</v>
      </c>
      <c r="I107" s="50">
        <v>10.199999999999999</v>
      </c>
      <c r="J107" s="49" t="s">
        <v>318</v>
      </c>
    </row>
    <row r="108" spans="3:10" ht="160" thickBot="1" x14ac:dyDescent="0.4">
      <c r="C108" s="51" t="s">
        <v>159</v>
      </c>
      <c r="D108" s="48">
        <v>2</v>
      </c>
      <c r="E108" s="48">
        <v>1</v>
      </c>
      <c r="F108" s="48">
        <v>39</v>
      </c>
      <c r="G108" s="49">
        <v>7.1</v>
      </c>
      <c r="H108" s="48" t="s">
        <v>318</v>
      </c>
      <c r="I108" s="50">
        <v>27.6</v>
      </c>
      <c r="J108" s="49" t="s">
        <v>318</v>
      </c>
    </row>
    <row r="109" spans="3:10" ht="44" thickBot="1" x14ac:dyDescent="0.4">
      <c r="C109" s="47" t="s">
        <v>160</v>
      </c>
      <c r="D109" s="48">
        <v>1</v>
      </c>
      <c r="E109" s="48">
        <v>0</v>
      </c>
      <c r="F109" s="48">
        <v>41</v>
      </c>
      <c r="G109" s="49">
        <v>2.4</v>
      </c>
      <c r="H109" s="48" t="s">
        <v>318</v>
      </c>
      <c r="I109" s="50">
        <v>10.199999999999999</v>
      </c>
      <c r="J109" s="49" t="s">
        <v>318</v>
      </c>
    </row>
    <row r="110" spans="3:10" ht="44" thickBot="1" x14ac:dyDescent="0.4">
      <c r="C110" s="47" t="s">
        <v>161</v>
      </c>
      <c r="D110" s="48">
        <v>2</v>
      </c>
      <c r="E110" s="48">
        <v>5</v>
      </c>
      <c r="F110" s="48">
        <v>35</v>
      </c>
      <c r="G110" s="49">
        <v>16.7</v>
      </c>
      <c r="H110" s="48" t="s">
        <v>318</v>
      </c>
      <c r="I110" s="50">
        <v>50.1</v>
      </c>
      <c r="J110" s="49" t="s">
        <v>318</v>
      </c>
    </row>
    <row r="111" spans="3:10" ht="15" thickBot="1" x14ac:dyDescent="0.4">
      <c r="C111" s="47" t="s">
        <v>162</v>
      </c>
      <c r="D111" s="48">
        <v>37</v>
      </c>
      <c r="E111" s="48">
        <v>2</v>
      </c>
      <c r="F111" s="48">
        <v>3</v>
      </c>
      <c r="G111" s="49">
        <v>92.9</v>
      </c>
      <c r="H111" s="48">
        <v>0.05</v>
      </c>
      <c r="I111" s="50">
        <v>40.5</v>
      </c>
      <c r="J111" s="49">
        <v>29.2</v>
      </c>
    </row>
    <row r="112" spans="3:10" ht="15" thickBot="1" x14ac:dyDescent="0.4">
      <c r="C112" s="52" t="s">
        <v>163</v>
      </c>
      <c r="D112" s="48">
        <v>21</v>
      </c>
      <c r="E112" s="48">
        <v>0</v>
      </c>
      <c r="F112" s="48">
        <v>21</v>
      </c>
      <c r="G112" s="49">
        <v>50</v>
      </c>
      <c r="H112" s="48">
        <v>0</v>
      </c>
      <c r="I112" s="50">
        <v>63.1</v>
      </c>
      <c r="J112" s="49">
        <v>0</v>
      </c>
    </row>
    <row r="113" spans="3:10" ht="15" thickBot="1" x14ac:dyDescent="0.4">
      <c r="C113" s="52" t="s">
        <v>164</v>
      </c>
      <c r="D113" s="48">
        <v>16</v>
      </c>
      <c r="E113" s="48">
        <v>0</v>
      </c>
      <c r="F113" s="48">
        <v>26</v>
      </c>
      <c r="G113" s="49">
        <v>38.1</v>
      </c>
      <c r="H113" s="48">
        <v>0</v>
      </c>
      <c r="I113" s="50">
        <v>60.5</v>
      </c>
      <c r="J113" s="49">
        <v>0</v>
      </c>
    </row>
    <row r="114" spans="3:10" ht="15" thickBot="1" x14ac:dyDescent="0.4">
      <c r="C114" s="52" t="s">
        <v>165</v>
      </c>
      <c r="D114" s="48">
        <v>15</v>
      </c>
      <c r="E114" s="48">
        <v>0</v>
      </c>
      <c r="F114" s="48">
        <v>27</v>
      </c>
      <c r="G114" s="49">
        <v>35.700000000000003</v>
      </c>
      <c r="H114" s="48">
        <v>0</v>
      </c>
      <c r="I114" s="50">
        <v>59.3</v>
      </c>
      <c r="J114" s="49">
        <v>0</v>
      </c>
    </row>
    <row r="115" spans="3:10" ht="44" thickBot="1" x14ac:dyDescent="0.4">
      <c r="C115" s="53" t="s">
        <v>166</v>
      </c>
      <c r="D115" s="48">
        <v>0</v>
      </c>
      <c r="E115" s="48">
        <v>4</v>
      </c>
      <c r="F115" s="48">
        <v>38</v>
      </c>
      <c r="G115" s="49">
        <v>9.5</v>
      </c>
      <c r="H115" s="48" t="s">
        <v>318</v>
      </c>
      <c r="I115" s="50">
        <v>28.6</v>
      </c>
      <c r="J115" s="49" t="s">
        <v>318</v>
      </c>
    </row>
    <row r="116" spans="3:10" ht="15" thickBot="1" x14ac:dyDescent="0.4">
      <c r="C116" s="52" t="s">
        <v>167</v>
      </c>
      <c r="D116" s="48">
        <v>2</v>
      </c>
      <c r="E116" s="48">
        <v>39</v>
      </c>
      <c r="F116" s="48">
        <v>1</v>
      </c>
      <c r="G116" s="49">
        <v>97.6</v>
      </c>
      <c r="H116" s="48">
        <v>0.95</v>
      </c>
      <c r="I116" s="50">
        <v>27.6</v>
      </c>
      <c r="J116" s="49">
        <v>28.1</v>
      </c>
    </row>
    <row r="117" spans="3:10" ht="15" thickBot="1" x14ac:dyDescent="0.4">
      <c r="C117" s="47" t="s">
        <v>168</v>
      </c>
      <c r="D117" s="48">
        <v>6</v>
      </c>
      <c r="E117" s="48">
        <v>6</v>
      </c>
      <c r="F117" s="48">
        <v>30</v>
      </c>
      <c r="G117" s="49">
        <v>28.6</v>
      </c>
      <c r="H117" s="48">
        <v>0.5</v>
      </c>
      <c r="I117" s="50">
        <v>72.5</v>
      </c>
      <c r="J117" s="49">
        <v>100</v>
      </c>
    </row>
    <row r="118" spans="3:10" ht="15" thickBot="1" x14ac:dyDescent="0.4">
      <c r="C118" s="47" t="s">
        <v>169</v>
      </c>
      <c r="D118" s="48">
        <v>26</v>
      </c>
      <c r="E118" s="48">
        <v>15</v>
      </c>
      <c r="F118" s="48">
        <v>1</v>
      </c>
      <c r="G118" s="49">
        <v>97.6</v>
      </c>
      <c r="H118" s="48">
        <v>0.37</v>
      </c>
      <c r="I118" s="50">
        <v>68.599999999999994</v>
      </c>
      <c r="J118" s="49">
        <v>94.7</v>
      </c>
    </row>
    <row r="119" spans="3:10" ht="44" thickBot="1" x14ac:dyDescent="0.4">
      <c r="C119" s="47" t="s">
        <v>170</v>
      </c>
      <c r="D119" s="48">
        <v>2</v>
      </c>
      <c r="E119" s="48">
        <v>3</v>
      </c>
      <c r="F119" s="48">
        <v>37</v>
      </c>
      <c r="G119" s="49">
        <v>11.9</v>
      </c>
      <c r="H119" s="48" t="s">
        <v>318</v>
      </c>
      <c r="I119" s="50">
        <v>40.5</v>
      </c>
      <c r="J119" s="49" t="s">
        <v>318</v>
      </c>
    </row>
    <row r="120" spans="3:10" ht="131" thickBot="1" x14ac:dyDescent="0.4">
      <c r="C120" s="51" t="s">
        <v>171</v>
      </c>
      <c r="D120" s="48">
        <v>13</v>
      </c>
      <c r="E120" s="48">
        <v>2</v>
      </c>
      <c r="F120" s="48">
        <v>27</v>
      </c>
      <c r="G120" s="49">
        <v>35.700000000000003</v>
      </c>
      <c r="H120" s="48">
        <v>0.13</v>
      </c>
      <c r="I120" s="50">
        <v>72.099999999999994</v>
      </c>
      <c r="J120" s="49">
        <v>56.7</v>
      </c>
    </row>
    <row r="121" spans="3:10" ht="44" thickBot="1" x14ac:dyDescent="0.4">
      <c r="C121" s="51" t="s">
        <v>172</v>
      </c>
      <c r="D121" s="48">
        <v>4</v>
      </c>
      <c r="E121" s="48">
        <v>0</v>
      </c>
      <c r="F121" s="48">
        <v>38</v>
      </c>
      <c r="G121" s="49">
        <v>9.5</v>
      </c>
      <c r="H121" s="48" t="s">
        <v>318</v>
      </c>
      <c r="I121" s="50">
        <v>28.6</v>
      </c>
      <c r="J121" s="49" t="s">
        <v>318</v>
      </c>
    </row>
    <row r="122" spans="3:10" ht="87.5" thickBot="1" x14ac:dyDescent="0.4">
      <c r="C122" s="51" t="s">
        <v>173</v>
      </c>
      <c r="D122" s="48">
        <v>0</v>
      </c>
      <c r="E122" s="48">
        <v>2</v>
      </c>
      <c r="F122" s="48">
        <v>40</v>
      </c>
      <c r="G122" s="49">
        <v>4.8</v>
      </c>
      <c r="H122" s="48" t="s">
        <v>318</v>
      </c>
      <c r="I122" s="50">
        <v>17.399999999999999</v>
      </c>
      <c r="J122" s="49" t="s">
        <v>318</v>
      </c>
    </row>
    <row r="123" spans="3:10" ht="15" thickBot="1" x14ac:dyDescent="0.4">
      <c r="C123" s="47" t="s">
        <v>174</v>
      </c>
      <c r="D123" s="48">
        <v>27</v>
      </c>
      <c r="E123" s="48">
        <v>0</v>
      </c>
      <c r="F123" s="48">
        <v>15</v>
      </c>
      <c r="G123" s="49">
        <v>64.3</v>
      </c>
      <c r="H123" s="48">
        <v>0</v>
      </c>
      <c r="I123" s="50">
        <v>58.4</v>
      </c>
      <c r="J123" s="49">
        <v>0</v>
      </c>
    </row>
    <row r="124" spans="3:10" ht="15" thickBot="1" x14ac:dyDescent="0.4">
      <c r="C124" s="47" t="s">
        <v>175</v>
      </c>
      <c r="D124" s="48">
        <v>13</v>
      </c>
      <c r="E124" s="48">
        <v>19</v>
      </c>
      <c r="F124" s="48">
        <v>9</v>
      </c>
      <c r="G124" s="49">
        <v>76.2</v>
      </c>
      <c r="H124" s="48">
        <v>0.59</v>
      </c>
      <c r="I124" s="50">
        <v>94.7</v>
      </c>
      <c r="J124" s="49">
        <v>97.4</v>
      </c>
    </row>
    <row r="125" spans="3:10" ht="44" thickBot="1" x14ac:dyDescent="0.4">
      <c r="C125" s="47" t="s">
        <v>176</v>
      </c>
      <c r="D125" s="48">
        <v>4</v>
      </c>
      <c r="E125" s="48">
        <v>0</v>
      </c>
      <c r="F125" s="48">
        <v>38</v>
      </c>
      <c r="G125" s="49">
        <v>9.5</v>
      </c>
      <c r="H125" s="48" t="s">
        <v>318</v>
      </c>
      <c r="I125" s="50">
        <v>28.6</v>
      </c>
      <c r="J125" s="49" t="s">
        <v>318</v>
      </c>
    </row>
    <row r="126" spans="3:10" ht="15" thickBot="1" x14ac:dyDescent="0.4">
      <c r="C126" s="47" t="s">
        <v>177</v>
      </c>
      <c r="D126" s="48">
        <v>13</v>
      </c>
      <c r="E126" s="48">
        <v>20</v>
      </c>
      <c r="F126" s="48">
        <v>9</v>
      </c>
      <c r="G126" s="49">
        <v>78.599999999999994</v>
      </c>
      <c r="H126" s="48">
        <v>0.61</v>
      </c>
      <c r="I126" s="50">
        <v>95.2</v>
      </c>
      <c r="J126" s="49">
        <v>96.7</v>
      </c>
    </row>
    <row r="127" spans="3:10" ht="44" thickBot="1" x14ac:dyDescent="0.4">
      <c r="C127" s="47" t="s">
        <v>178</v>
      </c>
      <c r="D127" s="48">
        <v>4</v>
      </c>
      <c r="E127" s="48">
        <v>0</v>
      </c>
      <c r="F127" s="48">
        <v>38</v>
      </c>
      <c r="G127" s="49">
        <v>9.5</v>
      </c>
      <c r="H127" s="48" t="s">
        <v>318</v>
      </c>
      <c r="I127" s="50">
        <v>28.6</v>
      </c>
      <c r="J127" s="49" t="s">
        <v>318</v>
      </c>
    </row>
    <row r="128" spans="3:10" ht="15" thickBot="1" x14ac:dyDescent="0.4">
      <c r="C128" s="47" t="s">
        <v>179</v>
      </c>
      <c r="D128" s="48">
        <v>21</v>
      </c>
      <c r="E128" s="48">
        <v>0</v>
      </c>
      <c r="F128" s="48">
        <v>21</v>
      </c>
      <c r="G128" s="49">
        <v>50</v>
      </c>
      <c r="H128" s="48">
        <v>0</v>
      </c>
      <c r="I128" s="50">
        <v>63.1</v>
      </c>
      <c r="J128" s="49">
        <v>0</v>
      </c>
    </row>
    <row r="129" spans="3:10" ht="15" thickBot="1" x14ac:dyDescent="0.4">
      <c r="C129" s="47" t="s">
        <v>180</v>
      </c>
      <c r="D129" s="48">
        <v>42</v>
      </c>
      <c r="E129" s="48">
        <v>0</v>
      </c>
      <c r="F129" s="48">
        <v>0</v>
      </c>
      <c r="G129" s="49">
        <v>100</v>
      </c>
      <c r="H129" s="48">
        <v>0</v>
      </c>
      <c r="I129" s="50">
        <v>0</v>
      </c>
      <c r="J129" s="49">
        <v>0</v>
      </c>
    </row>
    <row r="130" spans="3:10" ht="15" thickBot="1" x14ac:dyDescent="0.4">
      <c r="C130" s="47" t="s">
        <v>181</v>
      </c>
      <c r="D130" s="48">
        <v>28</v>
      </c>
      <c r="E130" s="48">
        <v>0</v>
      </c>
      <c r="F130" s="48">
        <v>14</v>
      </c>
      <c r="G130" s="49">
        <v>66.7</v>
      </c>
      <c r="H130" s="48">
        <v>0</v>
      </c>
      <c r="I130" s="50">
        <v>57.9</v>
      </c>
      <c r="J130" s="49">
        <v>0</v>
      </c>
    </row>
    <row r="131" spans="3:10" ht="131" thickBot="1" x14ac:dyDescent="0.4">
      <c r="C131" s="51" t="s">
        <v>182</v>
      </c>
      <c r="D131" s="48">
        <v>42</v>
      </c>
      <c r="E131" s="48">
        <v>0</v>
      </c>
      <c r="F131" s="48">
        <v>0</v>
      </c>
      <c r="G131" s="49">
        <v>100</v>
      </c>
      <c r="H131" s="48">
        <v>0</v>
      </c>
      <c r="I131" s="50">
        <v>0</v>
      </c>
      <c r="J131" s="49">
        <v>0</v>
      </c>
    </row>
    <row r="132" spans="3:10" ht="15" thickBot="1" x14ac:dyDescent="0.4">
      <c r="C132" s="47" t="s">
        <v>183</v>
      </c>
      <c r="D132" s="48">
        <v>22</v>
      </c>
      <c r="E132" s="48">
        <v>0</v>
      </c>
      <c r="F132" s="48">
        <v>20</v>
      </c>
      <c r="G132" s="49">
        <v>52.4</v>
      </c>
      <c r="H132" s="48">
        <v>0</v>
      </c>
      <c r="I132" s="50">
        <v>63</v>
      </c>
      <c r="J132" s="49">
        <v>0</v>
      </c>
    </row>
    <row r="133" spans="3:10" ht="15" thickBot="1" x14ac:dyDescent="0.4">
      <c r="C133" s="47" t="s">
        <v>184</v>
      </c>
      <c r="D133" s="48">
        <v>24</v>
      </c>
      <c r="E133" s="48">
        <v>1</v>
      </c>
      <c r="F133" s="48">
        <v>17</v>
      </c>
      <c r="G133" s="49">
        <v>59.5</v>
      </c>
      <c r="H133" s="48">
        <v>0.04</v>
      </c>
      <c r="I133" s="50">
        <v>70.5</v>
      </c>
      <c r="J133" s="49">
        <v>24.2</v>
      </c>
    </row>
    <row r="134" spans="3:10" ht="15" thickBot="1" x14ac:dyDescent="0.4">
      <c r="C134" s="47" t="s">
        <v>185</v>
      </c>
      <c r="D134" s="48">
        <v>41</v>
      </c>
      <c r="E134" s="48">
        <v>0</v>
      </c>
      <c r="F134" s="48">
        <v>1</v>
      </c>
      <c r="G134" s="49">
        <v>97.6</v>
      </c>
      <c r="H134" s="48">
        <v>0</v>
      </c>
      <c r="I134" s="50">
        <v>0</v>
      </c>
      <c r="J134" s="49">
        <v>0</v>
      </c>
    </row>
    <row r="135" spans="3:10" ht="15" thickBot="1" x14ac:dyDescent="0.4">
      <c r="C135" s="47" t="s">
        <v>186</v>
      </c>
      <c r="D135" s="48">
        <v>23</v>
      </c>
      <c r="E135" s="48">
        <v>4</v>
      </c>
      <c r="F135" s="48">
        <v>15</v>
      </c>
      <c r="G135" s="49">
        <v>64.3</v>
      </c>
      <c r="H135" s="48">
        <v>0.15</v>
      </c>
      <c r="I135" s="50">
        <v>83.9</v>
      </c>
      <c r="J135" s="49">
        <v>60.5</v>
      </c>
    </row>
    <row r="136" spans="3:10" ht="15" thickBot="1" x14ac:dyDescent="0.4">
      <c r="C136" s="47" t="s">
        <v>187</v>
      </c>
      <c r="D136" s="48">
        <v>16</v>
      </c>
      <c r="E136" s="48">
        <v>0</v>
      </c>
      <c r="F136" s="48">
        <v>25</v>
      </c>
      <c r="G136" s="49">
        <v>38.1</v>
      </c>
      <c r="H136" s="48">
        <v>0</v>
      </c>
      <c r="I136" s="50">
        <v>60.9</v>
      </c>
      <c r="J136" s="49">
        <v>0</v>
      </c>
    </row>
    <row r="137" spans="3:10" ht="44" thickBot="1" x14ac:dyDescent="0.4">
      <c r="C137" s="47" t="s">
        <v>188</v>
      </c>
      <c r="D137" s="48">
        <v>6</v>
      </c>
      <c r="E137" s="48">
        <v>0</v>
      </c>
      <c r="F137" s="48">
        <v>36</v>
      </c>
      <c r="G137" s="49">
        <v>14.3</v>
      </c>
      <c r="H137" s="48" t="s">
        <v>318</v>
      </c>
      <c r="I137" s="50">
        <v>37.299999999999997</v>
      </c>
      <c r="J137" s="49" t="s">
        <v>318</v>
      </c>
    </row>
    <row r="138" spans="3:10" ht="87.5" thickBot="1" x14ac:dyDescent="0.4">
      <c r="C138" s="51" t="s">
        <v>189</v>
      </c>
      <c r="D138" s="48">
        <v>18</v>
      </c>
      <c r="E138" s="48">
        <v>2</v>
      </c>
      <c r="F138" s="48">
        <v>22</v>
      </c>
      <c r="G138" s="49">
        <v>47.6</v>
      </c>
      <c r="H138" s="48">
        <v>0.1</v>
      </c>
      <c r="I138" s="50">
        <v>77.099999999999994</v>
      </c>
      <c r="J138" s="49">
        <v>46.9</v>
      </c>
    </row>
    <row r="139" spans="3:10" ht="73" thickBot="1" x14ac:dyDescent="0.4">
      <c r="C139" s="51" t="s">
        <v>190</v>
      </c>
      <c r="D139" s="48">
        <v>1</v>
      </c>
      <c r="E139" s="48">
        <v>0</v>
      </c>
      <c r="F139" s="48">
        <v>41</v>
      </c>
      <c r="G139" s="49">
        <v>2.4</v>
      </c>
      <c r="H139" s="48" t="s">
        <v>318</v>
      </c>
      <c r="I139" s="50">
        <v>10.199999999999999</v>
      </c>
      <c r="J139" s="49" t="s">
        <v>318</v>
      </c>
    </row>
    <row r="140" spans="3:10" ht="58.5" thickBot="1" x14ac:dyDescent="0.4">
      <c r="C140" s="51" t="s">
        <v>191</v>
      </c>
      <c r="D140" s="48">
        <v>5</v>
      </c>
      <c r="E140" s="48">
        <v>0</v>
      </c>
      <c r="F140" s="48">
        <v>37</v>
      </c>
      <c r="G140" s="49">
        <v>11.9</v>
      </c>
      <c r="H140" s="48" t="s">
        <v>318</v>
      </c>
      <c r="I140" s="50">
        <v>33.200000000000003</v>
      </c>
      <c r="J140" s="49" t="s">
        <v>318</v>
      </c>
    </row>
    <row r="141" spans="3:10" ht="73" thickBot="1" x14ac:dyDescent="0.4">
      <c r="C141" s="51" t="s">
        <v>192</v>
      </c>
      <c r="D141" s="48">
        <v>1</v>
      </c>
      <c r="E141" s="48">
        <v>0</v>
      </c>
      <c r="F141" s="48">
        <v>41</v>
      </c>
      <c r="G141" s="49">
        <v>2.4</v>
      </c>
      <c r="H141" s="48" t="s">
        <v>318</v>
      </c>
      <c r="I141" s="50">
        <v>10.199999999999999</v>
      </c>
      <c r="J141" s="49" t="s">
        <v>318</v>
      </c>
    </row>
    <row r="142" spans="3:10" ht="58.5" thickBot="1" x14ac:dyDescent="0.4">
      <c r="C142" s="51" t="s">
        <v>193</v>
      </c>
      <c r="D142" s="48">
        <v>7</v>
      </c>
      <c r="E142" s="48">
        <v>19</v>
      </c>
      <c r="F142" s="48">
        <v>16</v>
      </c>
      <c r="G142" s="49">
        <v>61.9</v>
      </c>
      <c r="H142" s="48">
        <v>0.73</v>
      </c>
      <c r="I142" s="50">
        <v>93.3</v>
      </c>
      <c r="J142" s="49">
        <v>84</v>
      </c>
    </row>
    <row r="143" spans="3:10" ht="58.5" thickBot="1" x14ac:dyDescent="0.4">
      <c r="C143" s="51" t="s">
        <v>194</v>
      </c>
      <c r="D143" s="48">
        <v>10</v>
      </c>
      <c r="E143" s="48">
        <v>0</v>
      </c>
      <c r="F143" s="48">
        <v>32</v>
      </c>
      <c r="G143" s="49">
        <v>23.8</v>
      </c>
      <c r="H143" s="48">
        <v>0</v>
      </c>
      <c r="I143" s="50">
        <v>50</v>
      </c>
      <c r="J143" s="49">
        <v>0</v>
      </c>
    </row>
    <row r="144" spans="3:10" ht="15" thickBot="1" x14ac:dyDescent="0.4">
      <c r="C144" s="47" t="s">
        <v>195</v>
      </c>
      <c r="D144" s="48">
        <v>41</v>
      </c>
      <c r="E144" s="48">
        <v>0</v>
      </c>
      <c r="F144" s="48">
        <v>1</v>
      </c>
      <c r="G144" s="49">
        <v>97.6</v>
      </c>
      <c r="H144" s="48">
        <v>0</v>
      </c>
      <c r="I144" s="50">
        <v>0</v>
      </c>
      <c r="J144" s="49">
        <v>0</v>
      </c>
    </row>
    <row r="145" spans="3:10" ht="102" thickBot="1" x14ac:dyDescent="0.4">
      <c r="C145" s="51" t="s">
        <v>196</v>
      </c>
      <c r="D145" s="48">
        <v>21</v>
      </c>
      <c r="E145" s="48">
        <v>0</v>
      </c>
      <c r="F145" s="48">
        <v>21</v>
      </c>
      <c r="G145" s="49">
        <v>50</v>
      </c>
      <c r="H145" s="48">
        <v>0</v>
      </c>
      <c r="I145" s="50">
        <v>63.1</v>
      </c>
      <c r="J145" s="49">
        <v>0</v>
      </c>
    </row>
    <row r="146" spans="3:10" ht="15" thickBot="1" x14ac:dyDescent="0.4">
      <c r="C146" s="47" t="s">
        <v>197</v>
      </c>
      <c r="D146" s="48">
        <v>41</v>
      </c>
      <c r="E146" s="48">
        <v>0</v>
      </c>
      <c r="F146" s="48">
        <v>1</v>
      </c>
      <c r="G146" s="49">
        <v>97.6</v>
      </c>
      <c r="H146" s="48">
        <v>0</v>
      </c>
      <c r="I146" s="50">
        <v>0</v>
      </c>
      <c r="J146" s="49">
        <v>0</v>
      </c>
    </row>
    <row r="147" spans="3:10" ht="44" thickBot="1" x14ac:dyDescent="0.4">
      <c r="C147" s="47" t="s">
        <v>198</v>
      </c>
      <c r="D147" s="48">
        <v>2</v>
      </c>
      <c r="E147" s="48">
        <v>3</v>
      </c>
      <c r="F147" s="48">
        <v>37</v>
      </c>
      <c r="G147" s="49">
        <v>11.9</v>
      </c>
      <c r="H147" s="48" t="s">
        <v>318</v>
      </c>
      <c r="I147" s="50">
        <v>40.5</v>
      </c>
      <c r="J147" s="49" t="s">
        <v>318</v>
      </c>
    </row>
    <row r="148" spans="3:10" ht="15" thickBot="1" x14ac:dyDescent="0.4">
      <c r="C148" s="47" t="s">
        <v>199</v>
      </c>
      <c r="D148" s="48">
        <v>4</v>
      </c>
      <c r="E148" s="48">
        <v>35</v>
      </c>
      <c r="F148" s="48">
        <v>3</v>
      </c>
      <c r="G148" s="49">
        <v>92.9</v>
      </c>
      <c r="H148" s="48">
        <v>0.9</v>
      </c>
      <c r="I148" s="50">
        <v>51.4</v>
      </c>
      <c r="J148" s="49">
        <v>47.7</v>
      </c>
    </row>
    <row r="149" spans="3:10" ht="102" thickBot="1" x14ac:dyDescent="0.4">
      <c r="C149" s="51" t="s">
        <v>200</v>
      </c>
      <c r="D149" s="48">
        <v>17</v>
      </c>
      <c r="E149" s="48">
        <v>25</v>
      </c>
      <c r="F149" s="48">
        <v>0</v>
      </c>
      <c r="G149" s="49">
        <v>100</v>
      </c>
      <c r="H149" s="48">
        <v>0.6</v>
      </c>
      <c r="I149" s="50">
        <v>61.4</v>
      </c>
      <c r="J149" s="49">
        <v>97.4</v>
      </c>
    </row>
    <row r="150" spans="3:10" ht="73" thickBot="1" x14ac:dyDescent="0.4">
      <c r="C150" s="51" t="s">
        <v>201</v>
      </c>
      <c r="D150" s="48">
        <v>12</v>
      </c>
      <c r="E150" s="48">
        <v>29</v>
      </c>
      <c r="F150" s="48">
        <v>1</v>
      </c>
      <c r="G150" s="49">
        <v>97.6</v>
      </c>
      <c r="H150" s="48">
        <v>0.71</v>
      </c>
      <c r="I150" s="50">
        <v>64</v>
      </c>
      <c r="J150" s="49">
        <v>87.2</v>
      </c>
    </row>
    <row r="151" spans="3:10" ht="15" thickBot="1" x14ac:dyDescent="0.4">
      <c r="C151" s="47" t="s">
        <v>202</v>
      </c>
      <c r="D151" s="48">
        <v>8</v>
      </c>
      <c r="E151" s="48">
        <v>32</v>
      </c>
      <c r="F151" s="48">
        <v>2</v>
      </c>
      <c r="G151" s="49">
        <v>95.2</v>
      </c>
      <c r="H151" s="48">
        <v>0.8</v>
      </c>
      <c r="I151" s="50">
        <v>60.8</v>
      </c>
      <c r="J151" s="49">
        <v>72.2</v>
      </c>
    </row>
    <row r="152" spans="3:10" ht="44" thickBot="1" x14ac:dyDescent="0.4">
      <c r="C152" s="47" t="s">
        <v>203</v>
      </c>
      <c r="D152" s="48">
        <v>2</v>
      </c>
      <c r="E152" s="48">
        <v>5</v>
      </c>
      <c r="F152" s="48">
        <v>35</v>
      </c>
      <c r="G152" s="49">
        <v>16.7</v>
      </c>
      <c r="H152" s="48" t="s">
        <v>318</v>
      </c>
      <c r="I152" s="50">
        <v>50.1</v>
      </c>
      <c r="J152" s="49" t="s">
        <v>318</v>
      </c>
    </row>
    <row r="153" spans="3:10" ht="15" thickBot="1" x14ac:dyDescent="0.4">
      <c r="C153" s="47" t="s">
        <v>204</v>
      </c>
      <c r="D153" s="48">
        <v>4</v>
      </c>
      <c r="E153" s="48">
        <v>19</v>
      </c>
      <c r="F153" s="48">
        <v>19</v>
      </c>
      <c r="G153" s="49">
        <v>54.8</v>
      </c>
      <c r="H153" s="48">
        <v>0.83</v>
      </c>
      <c r="I153" s="50">
        <v>85.7</v>
      </c>
      <c r="J153" s="49">
        <v>66.7</v>
      </c>
    </row>
    <row r="154" spans="3:10" ht="29.5" thickBot="1" x14ac:dyDescent="0.4">
      <c r="C154" s="51" t="s">
        <v>205</v>
      </c>
      <c r="D154" s="48">
        <v>42</v>
      </c>
      <c r="E154" s="48">
        <v>0</v>
      </c>
      <c r="F154" s="48">
        <v>0</v>
      </c>
      <c r="G154" s="49">
        <v>100</v>
      </c>
      <c r="H154" s="48">
        <v>0</v>
      </c>
      <c r="I154" s="50">
        <v>0</v>
      </c>
      <c r="J154" s="49">
        <v>0</v>
      </c>
    </row>
    <row r="155" spans="3:10" ht="15" thickBot="1" x14ac:dyDescent="0.4">
      <c r="C155" s="47" t="s">
        <v>206</v>
      </c>
      <c r="D155" s="48">
        <v>7</v>
      </c>
      <c r="E155" s="48">
        <v>18</v>
      </c>
      <c r="F155" s="48">
        <v>17</v>
      </c>
      <c r="G155" s="49">
        <v>59.5</v>
      </c>
      <c r="H155" s="48">
        <v>0.72</v>
      </c>
      <c r="I155" s="50">
        <v>93.6</v>
      </c>
      <c r="J155" s="49">
        <v>85.5</v>
      </c>
    </row>
    <row r="156" spans="3:10" ht="44" thickBot="1" x14ac:dyDescent="0.4">
      <c r="C156" s="47" t="s">
        <v>207</v>
      </c>
      <c r="D156" s="48">
        <v>1</v>
      </c>
      <c r="E156" s="48">
        <v>3</v>
      </c>
      <c r="F156" s="48">
        <v>38</v>
      </c>
      <c r="G156" s="49">
        <v>9.5</v>
      </c>
      <c r="H156" s="48" t="s">
        <v>318</v>
      </c>
      <c r="I156" s="50">
        <v>33.5</v>
      </c>
      <c r="J156" s="49" t="s">
        <v>318</v>
      </c>
    </row>
    <row r="157" spans="3:10" ht="44" thickBot="1" x14ac:dyDescent="0.4">
      <c r="C157" s="47" t="s">
        <v>208</v>
      </c>
      <c r="D157" s="48">
        <v>1</v>
      </c>
      <c r="E157" s="48">
        <v>2</v>
      </c>
      <c r="F157" s="48">
        <v>39</v>
      </c>
      <c r="G157" s="49">
        <v>7.1</v>
      </c>
      <c r="H157" s="48" t="s">
        <v>318</v>
      </c>
      <c r="I157" s="50">
        <v>27.6</v>
      </c>
      <c r="J157" s="49" t="s">
        <v>318</v>
      </c>
    </row>
    <row r="158" spans="3:10" ht="15" thickBot="1" x14ac:dyDescent="0.4">
      <c r="C158" s="47" t="s">
        <v>209</v>
      </c>
      <c r="D158" s="48">
        <v>14</v>
      </c>
      <c r="E158" s="48">
        <v>9</v>
      </c>
      <c r="F158" s="48">
        <v>19</v>
      </c>
      <c r="G158" s="49">
        <v>54.8</v>
      </c>
      <c r="H158" s="48">
        <v>0.39</v>
      </c>
      <c r="I158" s="50">
        <v>96</v>
      </c>
      <c r="J158" s="49">
        <v>96.6</v>
      </c>
    </row>
    <row r="159" spans="3:10" ht="15" thickBot="1" x14ac:dyDescent="0.4">
      <c r="C159" s="47" t="s">
        <v>210</v>
      </c>
      <c r="D159" s="48">
        <v>13</v>
      </c>
      <c r="E159" s="48">
        <v>0</v>
      </c>
      <c r="F159" s="48">
        <v>29</v>
      </c>
      <c r="G159" s="49">
        <v>31</v>
      </c>
      <c r="H159" s="48">
        <v>0</v>
      </c>
      <c r="I159" s="50">
        <v>56.3</v>
      </c>
      <c r="J159" s="49">
        <v>0</v>
      </c>
    </row>
    <row r="160" spans="3:10" ht="174.5" thickBot="1" x14ac:dyDescent="0.4">
      <c r="C160" s="51" t="s">
        <v>211</v>
      </c>
      <c r="D160" s="48">
        <v>3</v>
      </c>
      <c r="E160" s="48">
        <v>2</v>
      </c>
      <c r="F160" s="48">
        <v>37</v>
      </c>
      <c r="G160" s="49">
        <v>11.9</v>
      </c>
      <c r="H160" s="48" t="s">
        <v>318</v>
      </c>
      <c r="I160" s="50">
        <v>40.5</v>
      </c>
      <c r="J160" s="49" t="s">
        <v>318</v>
      </c>
    </row>
    <row r="161" spans="3:10" ht="15" thickBot="1" x14ac:dyDescent="0.4">
      <c r="C161" s="47" t="s">
        <v>212</v>
      </c>
      <c r="D161" s="48">
        <v>25</v>
      </c>
      <c r="E161" s="48">
        <v>0</v>
      </c>
      <c r="F161" s="48">
        <v>17</v>
      </c>
      <c r="G161" s="49">
        <v>59.5</v>
      </c>
      <c r="H161" s="48">
        <v>0</v>
      </c>
      <c r="I161" s="50">
        <v>61.4</v>
      </c>
      <c r="J161" s="49">
        <v>0</v>
      </c>
    </row>
    <row r="162" spans="3:10" ht="15" thickBot="1" x14ac:dyDescent="0.4">
      <c r="C162" s="47" t="s">
        <v>213</v>
      </c>
      <c r="D162" s="48">
        <v>15</v>
      </c>
      <c r="E162" s="48">
        <v>1</v>
      </c>
      <c r="F162" s="48">
        <v>25</v>
      </c>
      <c r="G162" s="49">
        <v>38.1</v>
      </c>
      <c r="H162" s="48">
        <v>0.06</v>
      </c>
      <c r="I162" s="50">
        <v>69.8</v>
      </c>
      <c r="J162" s="49">
        <v>33.700000000000003</v>
      </c>
    </row>
    <row r="163" spans="3:10" ht="116.5" thickBot="1" x14ac:dyDescent="0.4">
      <c r="C163" s="51" t="s">
        <v>214</v>
      </c>
      <c r="D163" s="48">
        <v>5</v>
      </c>
      <c r="E163" s="48">
        <v>1</v>
      </c>
      <c r="F163" s="48">
        <v>36</v>
      </c>
      <c r="G163" s="49">
        <v>14.3</v>
      </c>
      <c r="H163" s="48" t="s">
        <v>318</v>
      </c>
      <c r="I163" s="50">
        <v>43.2</v>
      </c>
      <c r="J163" s="49" t="s">
        <v>318</v>
      </c>
    </row>
    <row r="164" spans="3:10" ht="58.5" thickBot="1" x14ac:dyDescent="0.4">
      <c r="C164" s="51" t="s">
        <v>215</v>
      </c>
      <c r="D164" s="48">
        <v>11</v>
      </c>
      <c r="E164" s="48">
        <v>1</v>
      </c>
      <c r="F164" s="48">
        <v>30</v>
      </c>
      <c r="G164" s="49">
        <v>28.6</v>
      </c>
      <c r="H164" s="48">
        <v>0.08</v>
      </c>
      <c r="I164" s="50">
        <v>61.9</v>
      </c>
      <c r="J164" s="49">
        <v>41.4</v>
      </c>
    </row>
    <row r="165" spans="3:10" ht="44" thickBot="1" x14ac:dyDescent="0.4">
      <c r="C165" s="51" t="s">
        <v>216</v>
      </c>
      <c r="D165" s="48">
        <v>0</v>
      </c>
      <c r="E165" s="48">
        <v>2</v>
      </c>
      <c r="F165" s="48">
        <v>40</v>
      </c>
      <c r="G165" s="49">
        <v>4.8</v>
      </c>
      <c r="H165" s="48" t="s">
        <v>318</v>
      </c>
      <c r="I165" s="50">
        <v>17.399999999999999</v>
      </c>
      <c r="J165" s="49" t="s">
        <v>318</v>
      </c>
    </row>
  </sheetData>
  <mergeCells count="7">
    <mergeCell ref="J1:J2"/>
    <mergeCell ref="C1:C2"/>
    <mergeCell ref="D1:D2"/>
    <mergeCell ref="E1:E2"/>
    <mergeCell ref="F1:F2"/>
    <mergeCell ref="H1:H2"/>
    <mergeCell ref="I1: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35648-23B5-4C15-B2C5-E5E315DB91D6}">
  <dimension ref="B1:M46"/>
  <sheetViews>
    <sheetView zoomScale="78" workbookViewId="0">
      <selection activeCell="D29" sqref="D29"/>
    </sheetView>
  </sheetViews>
  <sheetFormatPr defaultRowHeight="14.5" x14ac:dyDescent="0.35"/>
  <cols>
    <col min="3" max="3" width="69.36328125" bestFit="1" customWidth="1"/>
  </cols>
  <sheetData>
    <row r="1" spans="2:13" x14ac:dyDescent="0.35">
      <c r="C1" t="s">
        <v>231</v>
      </c>
      <c r="D1" t="s">
        <v>232</v>
      </c>
    </row>
    <row r="2" spans="2:13" x14ac:dyDescent="0.35">
      <c r="B2">
        <v>1</v>
      </c>
      <c r="C2" s="23" t="s">
        <v>1</v>
      </c>
      <c r="D2" s="15" t="s">
        <v>233</v>
      </c>
    </row>
    <row r="3" spans="2:13" x14ac:dyDescent="0.35">
      <c r="B3">
        <v>2</v>
      </c>
      <c r="C3" s="23" t="s">
        <v>2</v>
      </c>
      <c r="D3" s="15" t="s">
        <v>234</v>
      </c>
      <c r="M3" s="15" t="s">
        <v>282</v>
      </c>
    </row>
    <row r="4" spans="2:13" x14ac:dyDescent="0.35">
      <c r="B4">
        <v>3</v>
      </c>
      <c r="C4" s="23" t="s">
        <v>3</v>
      </c>
      <c r="D4" s="15" t="s">
        <v>235</v>
      </c>
    </row>
    <row r="5" spans="2:13" x14ac:dyDescent="0.35">
      <c r="B5">
        <v>4</v>
      </c>
      <c r="C5" s="23" t="s">
        <v>4</v>
      </c>
      <c r="D5" s="15" t="s">
        <v>236</v>
      </c>
    </row>
    <row r="6" spans="2:13" x14ac:dyDescent="0.35">
      <c r="B6">
        <v>5</v>
      </c>
      <c r="C6" s="23" t="s">
        <v>5</v>
      </c>
      <c r="D6" s="15" t="s">
        <v>237</v>
      </c>
      <c r="E6" s="15" t="s">
        <v>238</v>
      </c>
    </row>
    <row r="7" spans="2:13" x14ac:dyDescent="0.35">
      <c r="C7" s="23"/>
      <c r="D7" s="15" t="s">
        <v>239</v>
      </c>
      <c r="E7" s="15" t="s">
        <v>240</v>
      </c>
    </row>
    <row r="8" spans="2:13" x14ac:dyDescent="0.35">
      <c r="C8" s="23"/>
      <c r="D8" s="15" t="s">
        <v>241</v>
      </c>
      <c r="E8" s="15" t="s">
        <v>242</v>
      </c>
    </row>
    <row r="9" spans="2:13" x14ac:dyDescent="0.35">
      <c r="C9" s="23"/>
      <c r="D9" s="15" t="s">
        <v>243</v>
      </c>
      <c r="E9" s="15" t="s">
        <v>244</v>
      </c>
    </row>
    <row r="10" spans="2:13" x14ac:dyDescent="0.35">
      <c r="B10">
        <v>6</v>
      </c>
      <c r="C10" s="23" t="s">
        <v>6</v>
      </c>
      <c r="D10" s="15" t="s">
        <v>245</v>
      </c>
    </row>
    <row r="11" spans="2:13" x14ac:dyDescent="0.35">
      <c r="B11">
        <v>7</v>
      </c>
      <c r="C11" s="23" t="s">
        <v>7</v>
      </c>
      <c r="D11" s="15" t="s">
        <v>246</v>
      </c>
    </row>
    <row r="12" spans="2:13" x14ac:dyDescent="0.35">
      <c r="B12">
        <v>8</v>
      </c>
      <c r="C12" s="23" t="s">
        <v>8</v>
      </c>
      <c r="D12" s="15" t="s">
        <v>247</v>
      </c>
    </row>
    <row r="13" spans="2:13" x14ac:dyDescent="0.35">
      <c r="B13">
        <v>9</v>
      </c>
      <c r="C13" s="23" t="s">
        <v>9</v>
      </c>
      <c r="D13" s="15" t="s">
        <v>248</v>
      </c>
    </row>
    <row r="14" spans="2:13" x14ac:dyDescent="0.35">
      <c r="B14">
        <v>10</v>
      </c>
      <c r="C14" s="23" t="s">
        <v>10</v>
      </c>
      <c r="D14" s="15" t="s">
        <v>249</v>
      </c>
    </row>
    <row r="15" spans="2:13" x14ac:dyDescent="0.35">
      <c r="B15">
        <v>11</v>
      </c>
      <c r="C15" s="23" t="s">
        <v>11</v>
      </c>
      <c r="D15" s="15" t="s">
        <v>250</v>
      </c>
    </row>
    <row r="16" spans="2:13" x14ac:dyDescent="0.35">
      <c r="B16">
        <v>12</v>
      </c>
      <c r="C16" s="23" t="s">
        <v>12</v>
      </c>
      <c r="D16" s="15" t="s">
        <v>251</v>
      </c>
    </row>
    <row r="17" spans="2:10" x14ac:dyDescent="0.35">
      <c r="B17">
        <v>13</v>
      </c>
      <c r="C17" s="23" t="s">
        <v>13</v>
      </c>
      <c r="D17" s="15" t="s">
        <v>252</v>
      </c>
    </row>
    <row r="18" spans="2:10" x14ac:dyDescent="0.35">
      <c r="B18">
        <v>14</v>
      </c>
      <c r="C18" s="23" t="s">
        <v>14</v>
      </c>
      <c r="D18" s="15" t="s">
        <v>253</v>
      </c>
    </row>
    <row r="19" spans="2:10" x14ac:dyDescent="0.35">
      <c r="B19">
        <v>15</v>
      </c>
      <c r="C19" s="23" t="s">
        <v>15</v>
      </c>
      <c r="D19" s="15" t="s">
        <v>254</v>
      </c>
    </row>
    <row r="20" spans="2:10" x14ac:dyDescent="0.35">
      <c r="B20">
        <v>16</v>
      </c>
      <c r="C20" s="23" t="s">
        <v>16</v>
      </c>
      <c r="D20" s="15" t="s">
        <v>255</v>
      </c>
      <c r="J20" s="15" t="s">
        <v>292</v>
      </c>
    </row>
    <row r="21" spans="2:10" x14ac:dyDescent="0.35">
      <c r="B21">
        <v>17</v>
      </c>
      <c r="C21" s="23" t="s">
        <v>17</v>
      </c>
      <c r="D21" s="15" t="s">
        <v>256</v>
      </c>
    </row>
    <row r="22" spans="2:10" x14ac:dyDescent="0.35">
      <c r="B22">
        <v>18</v>
      </c>
      <c r="C22" s="23" t="s">
        <v>18</v>
      </c>
      <c r="D22" s="15" t="s">
        <v>257</v>
      </c>
    </row>
    <row r="23" spans="2:10" x14ac:dyDescent="0.35">
      <c r="B23">
        <v>19</v>
      </c>
      <c r="C23" s="23" t="s">
        <v>19</v>
      </c>
      <c r="D23" s="15" t="s">
        <v>258</v>
      </c>
    </row>
    <row r="24" spans="2:10" x14ac:dyDescent="0.35">
      <c r="B24" s="24">
        <v>20</v>
      </c>
      <c r="C24" s="23" t="s">
        <v>20</v>
      </c>
      <c r="D24" s="15" t="s">
        <v>259</v>
      </c>
    </row>
    <row r="25" spans="2:10" x14ac:dyDescent="0.35">
      <c r="B25">
        <v>21</v>
      </c>
      <c r="C25" s="23" t="s">
        <v>21</v>
      </c>
      <c r="D25" s="15" t="s">
        <v>260</v>
      </c>
    </row>
    <row r="26" spans="2:10" x14ac:dyDescent="0.35">
      <c r="B26">
        <v>22</v>
      </c>
      <c r="C26" s="23" t="s">
        <v>22</v>
      </c>
      <c r="D26" s="15" t="s">
        <v>261</v>
      </c>
    </row>
    <row r="27" spans="2:10" x14ac:dyDescent="0.35">
      <c r="B27">
        <v>23</v>
      </c>
      <c r="C27" s="23" t="s">
        <v>23</v>
      </c>
      <c r="D27" s="15" t="s">
        <v>262</v>
      </c>
      <c r="J27" s="15" t="s">
        <v>293</v>
      </c>
    </row>
    <row r="28" spans="2:10" x14ac:dyDescent="0.35">
      <c r="B28">
        <v>24</v>
      </c>
      <c r="C28" s="23" t="s">
        <v>24</v>
      </c>
      <c r="D28" s="15" t="s">
        <v>263</v>
      </c>
    </row>
    <row r="29" spans="2:10" x14ac:dyDescent="0.35">
      <c r="B29">
        <v>25</v>
      </c>
      <c r="C29" s="23" t="s">
        <v>25</v>
      </c>
      <c r="D29" s="15" t="s">
        <v>264</v>
      </c>
    </row>
    <row r="30" spans="2:10" x14ac:dyDescent="0.35">
      <c r="B30">
        <v>26</v>
      </c>
      <c r="C30" s="23" t="s">
        <v>26</v>
      </c>
      <c r="D30" s="15" t="s">
        <v>265</v>
      </c>
    </row>
    <row r="31" spans="2:10" x14ac:dyDescent="0.35">
      <c r="B31">
        <v>27</v>
      </c>
      <c r="C31" s="23" t="s">
        <v>27</v>
      </c>
      <c r="D31" s="15" t="s">
        <v>266</v>
      </c>
    </row>
    <row r="32" spans="2:10" x14ac:dyDescent="0.35">
      <c r="B32">
        <v>28</v>
      </c>
      <c r="C32" s="23" t="s">
        <v>28</v>
      </c>
      <c r="D32" s="15" t="s">
        <v>267</v>
      </c>
    </row>
    <row r="33" spans="2:13" x14ac:dyDescent="0.35">
      <c r="B33">
        <v>29</v>
      </c>
      <c r="C33" s="23" t="s">
        <v>29</v>
      </c>
      <c r="D33" s="15" t="s">
        <v>268</v>
      </c>
      <c r="J33" s="15" t="s">
        <v>302</v>
      </c>
    </row>
    <row r="34" spans="2:13" x14ac:dyDescent="0.35">
      <c r="B34">
        <v>30</v>
      </c>
      <c r="C34" s="23" t="s">
        <v>30</v>
      </c>
      <c r="D34" s="15" t="s">
        <v>269</v>
      </c>
    </row>
    <row r="35" spans="2:13" x14ac:dyDescent="0.35">
      <c r="B35">
        <v>31</v>
      </c>
      <c r="C35" s="23" t="s">
        <v>31</v>
      </c>
      <c r="D35" s="15" t="s">
        <v>270</v>
      </c>
    </row>
    <row r="36" spans="2:13" x14ac:dyDescent="0.35">
      <c r="B36">
        <v>32</v>
      </c>
      <c r="C36" s="23" t="s">
        <v>32</v>
      </c>
      <c r="D36" s="15" t="s">
        <v>271</v>
      </c>
    </row>
    <row r="37" spans="2:13" x14ac:dyDescent="0.35">
      <c r="B37">
        <v>33</v>
      </c>
      <c r="C37" s="23" t="s">
        <v>33</v>
      </c>
      <c r="D37" s="15" t="s">
        <v>272</v>
      </c>
    </row>
    <row r="38" spans="2:13" x14ac:dyDescent="0.35">
      <c r="B38">
        <v>34</v>
      </c>
      <c r="C38" s="23" t="s">
        <v>34</v>
      </c>
      <c r="D38" s="15" t="s">
        <v>273</v>
      </c>
    </row>
    <row r="39" spans="2:13" x14ac:dyDescent="0.35">
      <c r="B39">
        <v>35</v>
      </c>
      <c r="C39" s="23" t="s">
        <v>35</v>
      </c>
      <c r="D39" s="15" t="s">
        <v>274</v>
      </c>
    </row>
    <row r="40" spans="2:13" x14ac:dyDescent="0.35">
      <c r="B40">
        <v>36</v>
      </c>
      <c r="C40" s="23" t="s">
        <v>36</v>
      </c>
      <c r="D40" s="15" t="s">
        <v>275</v>
      </c>
    </row>
    <row r="41" spans="2:13" x14ac:dyDescent="0.35">
      <c r="B41">
        <v>37</v>
      </c>
      <c r="C41" s="23" t="s">
        <v>37</v>
      </c>
      <c r="D41" s="15" t="s">
        <v>276</v>
      </c>
    </row>
    <row r="42" spans="2:13" x14ac:dyDescent="0.35">
      <c r="B42">
        <v>38</v>
      </c>
      <c r="C42" s="23" t="s">
        <v>38</v>
      </c>
      <c r="D42" s="15" t="s">
        <v>277</v>
      </c>
    </row>
    <row r="43" spans="2:13" x14ac:dyDescent="0.35">
      <c r="B43">
        <v>39</v>
      </c>
      <c r="C43" s="23" t="s">
        <v>39</v>
      </c>
      <c r="D43" s="15" t="s">
        <v>278</v>
      </c>
    </row>
    <row r="44" spans="2:13" x14ac:dyDescent="0.35">
      <c r="B44">
        <v>40</v>
      </c>
      <c r="C44" s="23" t="s">
        <v>40</v>
      </c>
      <c r="D44" s="15" t="s">
        <v>279</v>
      </c>
      <c r="F44" s="15" t="s">
        <v>306</v>
      </c>
      <c r="M44" s="15" t="s">
        <v>307</v>
      </c>
    </row>
    <row r="45" spans="2:13" x14ac:dyDescent="0.35">
      <c r="B45">
        <v>41</v>
      </c>
      <c r="C45" s="23" t="s">
        <v>41</v>
      </c>
      <c r="D45" s="15" t="s">
        <v>280</v>
      </c>
    </row>
    <row r="46" spans="2:13" x14ac:dyDescent="0.35">
      <c r="B46">
        <v>42</v>
      </c>
      <c r="C46" s="23" t="s">
        <v>42</v>
      </c>
      <c r="D46" s="15" t="s">
        <v>281</v>
      </c>
    </row>
  </sheetData>
  <hyperlinks>
    <hyperlink ref="D2" r:id="rId1" display="https://www.southwestlondon.icb.nhs.uk/wp-content/uploads/2022/07/NHS-South-West-London-evidence-based-interventions-policy-4.1.pdf" xr:uid="{835E32A6-3CAC-4CE4-A37C-690E98EF33A9}"/>
    <hyperlink ref="D3" r:id="rId2" display="https://bsw.icb.nhs.uk/documents-and-reports/" xr:uid="{D5149C13-AD71-498D-AB65-A940BD94DAE2}"/>
    <hyperlink ref="D4" r:id="rId3" display="https://bedfordshirelutonandmiltonkeynes.icb.nhs.uk/what-we-do/individual-funding-requests/evidence-based-intervention-policies-2/" xr:uid="{F39F6F2B-269C-4F2B-82BB-6AE119E94863}"/>
    <hyperlink ref="D5" r:id="rId4" display="https://www.birminghamsolihull.icb.nhs.uk/health-information-and-advice/policies" xr:uid="{2C1FF855-505F-4015-A971-6150583DF624}"/>
    <hyperlink ref="D10" r:id="rId5" display="https://bnssg.icb.nhs.uk/library/" xr:uid="{3A33C1C8-C74C-4408-87C2-3C456A659F79}"/>
    <hyperlink ref="D11" r:id="rId6" display="https://www.bucksoxonberksw.icb.nhs.uk/your-health/clinical-commissioning-policy-statements-ifrs/" xr:uid="{F89A65DF-C9E3-4307-B031-0DEBA8C20530}"/>
    <hyperlink ref="D13" r:id="rId7" display="https://www.cheshireandmerseyside.nhs.uk/your-health/clinical-policies/" xr:uid="{6178A08B-9EB6-43E8-A61D-C64E9D10E586}"/>
    <hyperlink ref="D14" r:id="rId8" display="https://cios.icb.nhs.uk/health/treatment-policies/" xr:uid="{A16310DF-EB3E-4E8C-A931-7BE83530FAB0}"/>
    <hyperlink ref="D15" r:id="rId9" display="https://www.happyhealthylives.uk/document-library/?category_id=8" xr:uid="{600B46B6-6441-47DB-84EC-7976627200CD}"/>
    <hyperlink ref="D17" r:id="rId10" display="https://onedevon.org.uk/downloads/clinical-commissioning-policies/" xr:uid="{7CCF9F2A-5497-49C0-BCD9-D2CB8018AF97}"/>
    <hyperlink ref="D18" r:id="rId11" display="https://nhsdorset.nhs.uk/about/policies/" xr:uid="{34CA5AB5-5572-4E43-962F-E25BC8B047FA}"/>
    <hyperlink ref="D20" r:id="rId12" display="https://www.nhsglos.nhs.uk/your-health-services/funding-treatment/individual-funding-requests/" xr:uid="{8F527286-E97E-455D-B3CF-8D03EA396EC9}"/>
    <hyperlink ref="D21" r:id="rId13" display="https://gbr01.safelinks.protection.outlook.com/?url=https%3A%2F%2Fnhsgmgmicbsa.blob.core.windows.net%2Fnhsgmgmicbblobstorage%2FGMEUR%2FCommissioning%2520Statements%2FGM%2520Commissioning%2520Statements%2520descriptions.pdf&amp;data=05%7C02%7Cgmhscp.digital%40nhs.net%7C8f91a1c6abfa4e3c3d4808dd571b45e0%7C37c354b285b047f5b22207b48d774ee3%7C0%7C0%7C638762497361557619%7CUnknown%7CTWFpbGZsb3d8eyJFbXB0eU1hcGkiOnRydWUsIlYiOiIwLjAuMDAwMCIsIlAiOiJXaW4zMiIsIkFOIjoiTWFpbCIsIldUIjoyfQ%3D%3D%7C0%7C%7C%7C&amp;sdata=YXtMO%2BPvHKSkHmka%2B751TURYCGubw%2F63STFEweuf2vc%3D&amp;reserved=0" xr:uid="{2A3A3D83-3F52-46FC-8F02-6EB7A93A7FFC}"/>
    <hyperlink ref="D23" r:id="rId14" display="https://herefordshireandworcestershire.icb.nhs.uk/documents/clinical-and-prescribing-policies-guidance-and-pathways" xr:uid="{08D4ACE4-41D4-4615-95C9-62AB49B0F900}"/>
    <hyperlink ref="D25" r:id="rId15" display="https://humberandnorthyorkshire.icb.nhs.uk/documents-and-publications/commissioning-policies-2/" xr:uid="{005A3D37-D324-4EE6-9ED7-F80EC0719179}"/>
    <hyperlink ref="D26" r:id="rId16" display="https://www.kentandmedway.icb.nhs.uk/application/files/9817/1292/6708/KM_RaTC_April_2024.pdf" xr:uid="{D4ECC728-B9B9-46C1-A4F3-6B44E788E86C}"/>
    <hyperlink ref="D27" r:id="rId17" display="https://www.lancashireandsouthcumbria.icb.nhs.uk/our-work/commissioning-policies" xr:uid="{EB44C9BB-0C21-4244-AA13-790CD9878F35}"/>
    <hyperlink ref="D28" r:id="rId18" display="https://leicesterleicestershireandrutland.icb.nhs.uk/your-health/healthcare-and-treatment-policies/" xr:uid="{CEA08185-D565-4343-99BC-BF18338E0F1F}"/>
    <hyperlink ref="D29" r:id="rId19" display="https://lincolnshire.icb.nhs.uk/~documents/icb-publications/our-policies-and-procedures/clinical-governance/cg-003-prior-approval-policy/?layout=file" xr:uid="{15BDD73B-224E-4A6D-8935-63465B36AA37}"/>
    <hyperlink ref="D30" r:id="rId20" display="https://www.midandsouthessex.ics.nhs.uk/publications/?publications_category=service-restriction-policy-srp&amp;date_from=" xr:uid="{C2E079D5-C5A1-487A-92BA-4BDB0BC0EB84}"/>
    <hyperlink ref="D31" r:id="rId21" display="https://nwknowledgenow.nhs.uk/content-category/clinical-threshold-policies-and-ifr-drugs-and-non-drugs/" xr:uid="{57920182-58A7-40C5-BE7E-E4621292562D}"/>
    <hyperlink ref="D32" r:id="rId22" display="https://nclhealthandcare.org.uk/wp-content/uploads/2024/02/NCL-EBICS-Policy-v9.2-2.pdf" xr:uid="{E85D0931-CA42-4030-8171-EE051FEBEA03}"/>
    <hyperlink ref="D33" r:id="rId23" display="https://northeastnorthcumbria.nhs.uk/media/rbqd4v24/icp040-value-based-clinical-commissioning-policy-v13-0.pdf" xr:uid="{D9BF3891-C5B3-410C-A9C3-668A31D2FD02}"/>
    <hyperlink ref="D34" r:id="rId24" display="https://primarycare.northeastlondon.icb.nhs.uk/wp-content/uploads/2024/05/NEL-EBI-Policy-Version-2.2-Final.pdf" xr:uid="{E639268D-9119-410D-A79D-8347DBFF6465}"/>
    <hyperlink ref="D35" r:id="rId25" display="https://www.nwlondonicb.nhs.uk/professionals/planned-procedure-threshold" xr:uid="{E4C2737A-0603-44A0-8BC2-FD8A2F425200}"/>
    <hyperlink ref="D36" r:id="rId26" display="https://www.icnorthamptonshire.org.uk/documents?media_folder=2069&amp;root_folder=Prior%20Approvals%20-%20ICB" xr:uid="{E4A8AD86-EE03-47DF-A604-85AED86F9F22}"/>
    <hyperlink ref="D37" r:id="rId27" display="https://notts.icb.nhs.uk/wp-content/uploads/sites/2/2022/04/Value-Based-Commissioning-PolicyV1.4-2.pdf" xr:uid="{0C2BA748-8EC3-4DE2-8CD4-1940BBA213AC}"/>
    <hyperlink ref="D38" r:id="rId28" display="https://www.shropshiretelfordandwrekin.nhs.uk/wp-content/uploads/20240314-VBC-Policy-v5-Final.pdf" xr:uid="{9BC3B416-32B2-4D14-A33C-18E840DE46AA}"/>
    <hyperlink ref="D39" r:id="rId29" display="https://nhssomerset.nhs.uk/evidence-based-interventions/" xr:uid="{26B61AD0-2E09-4183-A52D-E109C97D299A}"/>
    <hyperlink ref="D40" r:id="rId30" display="https://www.selondonics.org/wp-content/uploads/dlm_uploads/SEL-Treatment-Access-Policy-July-2024-v1.pdf" xr:uid="{450C42F4-5B87-4E7D-A36F-D61C7FC9A13F}"/>
    <hyperlink ref="D41" r:id="rId31" xr:uid="{5955CD60-4170-4EB2-9EAE-9EB959DBF304}"/>
    <hyperlink ref="D42" r:id="rId32" display="https://staffsstoke.icb.nhs.uk/your-nhs-integrated-care-board/our-publications/governance-handbook/all-policies/commissioning/icb-excluded-and-restricted-procedures-policy-v3-1/?layout=file" xr:uid="{0EB0A54A-F453-41B2-B606-FCF8EFDE2BC9}"/>
    <hyperlink ref="D43" r:id="rId33" display="https://suffolkandnortheastessex.icb.nhs.uk/about-us/our-policies/" xr:uid="{41F218B0-C2F2-481A-A4D8-FCA5CC32053E}"/>
    <hyperlink ref="D44" r:id="rId34" display="https://www.surreyheartlands.org/search?term=IFR&amp;search=Search&amp;searchType=all" xr:uid="{FC48482B-EC82-421A-B12A-CA25C846E533}"/>
    <hyperlink ref="D45" r:id="rId35" display="https://int.sussex.ics.nhs.uk/clinical_documents/sussex-cec-clinical-policy/" xr:uid="{759F9271-D00F-4801-B823-5D1AEF53940D}"/>
    <hyperlink ref="D46" r:id="rId36" display="https://www.westyorkshire.icb.nhs.uk/documents/commissioning-policies" xr:uid="{65085304-986E-4544-8EA5-75F8CE7056E6}"/>
    <hyperlink ref="D24" r:id="rId37" display="https://www.hweclinicalguidance.nhs.uk/clinical-policies-group-evidence-based-interventions" xr:uid="{86F287D3-5DE9-4821-9946-1C4D62E0D9A0}"/>
    <hyperlink ref="D16" r:id="rId38" display="https://www.derbyshiremedicinesmanagement.nhs.uk/clinical-policies-home/clinical-policies" xr:uid="{172A4319-C172-4D71-A600-A85482DA3562}"/>
    <hyperlink ref="D22" r:id="rId39" xr:uid="{1D9B1293-666F-4B73-AEA1-19CE43123E3E}"/>
    <hyperlink ref="M3" r:id="rId40" xr:uid="{B77BB184-3316-4B31-B866-169EACF30FB8}"/>
    <hyperlink ref="E6" r:id="rId41" xr:uid="{53E2DD1F-D3DF-41EB-8247-D3DFCE98A358}"/>
    <hyperlink ref="E7" r:id="rId42" xr:uid="{1E7A338C-5CFD-42F7-9A7B-DDFA5F02207A}"/>
    <hyperlink ref="E8" r:id="rId43" xr:uid="{5FD170CB-7FA4-4E79-B67B-212EA7828384}"/>
    <hyperlink ref="E9" r:id="rId44" xr:uid="{BD8EE9A7-C375-472A-939E-CF0A7063827B}"/>
    <hyperlink ref="D12" r:id="rId45" xr:uid="{67E5403F-52ED-45CD-A79F-62AEBADD883D}"/>
    <hyperlink ref="D19" r:id="rId46" xr:uid="{D33DED6E-17BB-4959-AB36-544A8D28CBB7}"/>
    <hyperlink ref="J20" r:id="rId47" xr:uid="{888AA9D6-DB01-4E5D-AA22-79A846985127}"/>
    <hyperlink ref="J27" r:id="rId48" xr:uid="{396C3481-12E1-412A-A7DE-5993ADFEE5A4}"/>
    <hyperlink ref="J33" r:id="rId49" xr:uid="{4F590786-BBF7-4BE9-BA2B-29E5C0461D32}"/>
    <hyperlink ref="F44" r:id="rId50" xr:uid="{4BEFCA91-44FB-4684-A425-B3F2A1C318DD}"/>
    <hyperlink ref="M44" r:id="rId51" xr:uid="{519B93A2-E6C1-4688-B739-048E13890C9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407C3-3FCB-443D-809D-8DAF10043919}">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EBI Review</vt:lpstr>
      <vt:lpstr>RI and CVI</vt:lpstr>
      <vt:lpstr>ICB Links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Smyth, Jamie B</dc:creator>
  <cp:lastModifiedBy>Vageesh Jain (NHS South West London ICB)</cp:lastModifiedBy>
  <dcterms:created xsi:type="dcterms:W3CDTF">2025-05-15T12:24:33Z</dcterms:created>
  <dcterms:modified xsi:type="dcterms:W3CDTF">2026-10-09T13:09:01Z</dcterms:modified>
</cp:coreProperties>
</file>